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exa\OneDrive - University of Guelph\Documents\WEB lab\InsectNutrition\"/>
    </mc:Choice>
  </mc:AlternateContent>
  <xr:revisionPtr revIDLastSave="0" documentId="8_{F0466537-22E4-490D-A759-649FC153410B}" xr6:coauthVersionLast="47" xr6:coauthVersionMax="47" xr10:uidLastSave="{00000000-0000-0000-0000-000000000000}"/>
  <bookViews>
    <workbookView xWindow="-105" yWindow="0" windowWidth="14610" windowHeight="16305" firstSheet="1" activeTab="1" xr2:uid="{00000000-000D-0000-FFFF-FFFF00000000}"/>
  </bookViews>
  <sheets>
    <sheet name="Summary" sheetId="1" r:id="rId1"/>
    <sheet name="Nutri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2" l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P118" i="2"/>
  <c r="M154" i="2"/>
  <c r="J154" i="2"/>
  <c r="G154" i="2"/>
  <c r="M153" i="2"/>
  <c r="J5" i="2"/>
  <c r="K5" i="2" s="1"/>
  <c r="J22" i="2"/>
  <c r="K22" i="2" s="1"/>
  <c r="J57" i="2"/>
  <c r="K57" i="2" s="1"/>
  <c r="J16" i="2"/>
  <c r="K16" i="2" s="1"/>
  <c r="J12" i="2"/>
  <c r="K12" i="2" s="1"/>
  <c r="J56" i="2"/>
  <c r="J14" i="2"/>
  <c r="J24" i="2"/>
  <c r="K24" i="2" s="1"/>
  <c r="J28" i="2"/>
  <c r="K28" i="2" s="1"/>
  <c r="J10" i="2"/>
  <c r="J6" i="2"/>
  <c r="K6" i="2" s="1"/>
  <c r="J66" i="2"/>
  <c r="K66" i="2" s="1"/>
  <c r="J3" i="2"/>
  <c r="K3" i="2" s="1"/>
  <c r="J49" i="2"/>
  <c r="J36" i="2"/>
  <c r="J64" i="2"/>
  <c r="K64" i="2" s="1"/>
  <c r="J2" i="2"/>
  <c r="K2" i="2" s="1"/>
  <c r="J53" i="2"/>
  <c r="K53" i="2" s="1"/>
  <c r="J70" i="2"/>
  <c r="K70" i="2" s="1"/>
  <c r="J32" i="2"/>
  <c r="K32" i="2" s="1"/>
  <c r="J23" i="2"/>
  <c r="K23" i="2" s="1"/>
  <c r="J26" i="2"/>
  <c r="J72" i="2"/>
  <c r="J74" i="2"/>
  <c r="K74" i="2" s="1"/>
  <c r="J9" i="2"/>
  <c r="J43" i="2"/>
  <c r="K43" i="2" s="1"/>
  <c r="J61" i="2"/>
  <c r="K61" i="2" s="1"/>
  <c r="J69" i="2"/>
  <c r="K69" i="2" s="1"/>
  <c r="J46" i="2"/>
  <c r="K46" i="2" s="1"/>
  <c r="J4" i="2"/>
  <c r="J67" i="2"/>
  <c r="J21" i="2"/>
  <c r="K21" i="2" s="1"/>
  <c r="J55" i="2"/>
  <c r="K55" i="2" s="1"/>
  <c r="J62" i="2"/>
  <c r="K62" i="2" s="1"/>
  <c r="J58" i="2"/>
  <c r="K58" i="2" s="1"/>
  <c r="J52" i="2"/>
  <c r="K52" i="2" s="1"/>
  <c r="J27" i="2"/>
  <c r="K27" i="2" s="1"/>
  <c r="J11" i="2"/>
  <c r="J44" i="2"/>
  <c r="K44" i="2" s="1"/>
  <c r="J68" i="2"/>
  <c r="K68" i="2" s="1"/>
  <c r="J35" i="2"/>
  <c r="J73" i="2"/>
  <c r="K73" i="2" s="1"/>
  <c r="J38" i="2"/>
  <c r="K38" i="2" s="1"/>
  <c r="J31" i="2"/>
  <c r="K31" i="2" s="1"/>
  <c r="J63" i="2"/>
  <c r="K63" i="2" s="1"/>
  <c r="J65" i="2"/>
  <c r="K65" i="2" s="1"/>
  <c r="J77" i="2"/>
  <c r="J78" i="2"/>
  <c r="K78" i="2" s="1"/>
  <c r="J51" i="2"/>
  <c r="K51" i="2" s="1"/>
  <c r="J37" i="2"/>
  <c r="K37" i="2" s="1"/>
  <c r="J79" i="2"/>
  <c r="K79" i="2" s="1"/>
  <c r="J71" i="2"/>
  <c r="K71" i="2" s="1"/>
  <c r="J80" i="2"/>
  <c r="K80" i="2" s="1"/>
  <c r="J81" i="2"/>
  <c r="K81" i="2" s="1"/>
  <c r="J82" i="2"/>
  <c r="J83" i="2"/>
  <c r="K83" i="2" s="1"/>
  <c r="J48" i="2"/>
  <c r="K48" i="2" s="1"/>
  <c r="J76" i="2"/>
  <c r="K76" i="2" s="1"/>
  <c r="J84" i="2"/>
  <c r="K84" i="2" s="1"/>
  <c r="J50" i="2"/>
  <c r="K50" i="2" s="1"/>
  <c r="J85" i="2"/>
  <c r="K85" i="2" s="1"/>
  <c r="J15" i="2"/>
  <c r="K15" i="2" s="1"/>
  <c r="J59" i="2"/>
  <c r="J75" i="2"/>
  <c r="K75" i="2" s="1"/>
  <c r="J86" i="2"/>
  <c r="K86" i="2" s="1"/>
  <c r="J87" i="2"/>
  <c r="K87" i="2" s="1"/>
  <c r="J88" i="2"/>
  <c r="K88" i="2" s="1"/>
  <c r="J89" i="2"/>
  <c r="K89" i="2" s="1"/>
  <c r="J90" i="2"/>
  <c r="K90" i="2" s="1"/>
  <c r="J47" i="2"/>
  <c r="K47" i="2" s="1"/>
  <c r="J91" i="2"/>
  <c r="K91" i="2" s="1"/>
  <c r="J92" i="2"/>
  <c r="K92" i="2" s="1"/>
  <c r="J93" i="2"/>
  <c r="K93" i="2" s="1"/>
  <c r="J94" i="2"/>
  <c r="K94" i="2" s="1"/>
  <c r="J95" i="2"/>
  <c r="K95" i="2" s="1"/>
  <c r="J96" i="2"/>
  <c r="K96" i="2" s="1"/>
  <c r="J97" i="2"/>
  <c r="K97" i="2" s="1"/>
  <c r="J98" i="2"/>
  <c r="K98" i="2" s="1"/>
  <c r="J99" i="2"/>
  <c r="J100" i="2"/>
  <c r="K100" i="2" s="1"/>
  <c r="J101" i="2"/>
  <c r="K101" i="2" s="1"/>
  <c r="J102" i="2"/>
  <c r="K102" i="2" s="1"/>
  <c r="J54" i="2"/>
  <c r="K54" i="2" s="1"/>
  <c r="J103" i="2"/>
  <c r="K103" i="2" s="1"/>
  <c r="J104" i="2"/>
  <c r="K104" i="2" s="1"/>
  <c r="J105" i="2"/>
  <c r="K105" i="2" s="1"/>
  <c r="J106" i="2"/>
  <c r="J107" i="2"/>
  <c r="K107" i="2" s="1"/>
  <c r="J108" i="2"/>
  <c r="K108" i="2" s="1"/>
  <c r="J109" i="2"/>
  <c r="K109" i="2" s="1"/>
  <c r="J110" i="2"/>
  <c r="K110" i="2" s="1"/>
  <c r="J111" i="2"/>
  <c r="K111" i="2" s="1"/>
  <c r="J112" i="2"/>
  <c r="K112" i="2" s="1"/>
  <c r="J113" i="2"/>
  <c r="K113" i="2" s="1"/>
  <c r="J114" i="2"/>
  <c r="J18" i="2"/>
  <c r="K18" i="2" s="1"/>
  <c r="J115" i="2"/>
  <c r="K115" i="2" s="1"/>
  <c r="J116" i="2"/>
  <c r="K116" i="2" s="1"/>
  <c r="J117" i="2"/>
  <c r="K117" i="2" s="1"/>
  <c r="J60" i="2"/>
  <c r="K60" i="2" s="1"/>
  <c r="J45" i="2"/>
  <c r="K45" i="2" s="1"/>
  <c r="J29" i="2"/>
  <c r="K29" i="2" s="1"/>
  <c r="J40" i="2"/>
  <c r="K40" i="2" s="1"/>
  <c r="J13" i="2"/>
  <c r="K13" i="2" s="1"/>
  <c r="J42" i="2"/>
  <c r="K42" i="2" s="1"/>
  <c r="J25" i="2"/>
  <c r="K25" i="2" s="1"/>
  <c r="J119" i="2"/>
  <c r="K119" i="2" s="1"/>
  <c r="J120" i="2"/>
  <c r="K120" i="2" s="1"/>
  <c r="J121" i="2"/>
  <c r="K121" i="2" s="1"/>
  <c r="J122" i="2"/>
  <c r="K122" i="2" s="1"/>
  <c r="J123" i="2"/>
  <c r="J124" i="2"/>
  <c r="K124" i="2" s="1"/>
  <c r="J125" i="2"/>
  <c r="K125" i="2" s="1"/>
  <c r="J126" i="2"/>
  <c r="K126" i="2" s="1"/>
  <c r="J127" i="2"/>
  <c r="K127" i="2" s="1"/>
  <c r="J128" i="2"/>
  <c r="K128" i="2" s="1"/>
  <c r="J129" i="2"/>
  <c r="K129" i="2" s="1"/>
  <c r="J130" i="2"/>
  <c r="K130" i="2" s="1"/>
  <c r="J131" i="2"/>
  <c r="K131" i="2" s="1"/>
  <c r="J132" i="2"/>
  <c r="K132" i="2" s="1"/>
  <c r="J133" i="2"/>
  <c r="K133" i="2" s="1"/>
  <c r="J138" i="2"/>
  <c r="K138" i="2" s="1"/>
  <c r="J140" i="2"/>
  <c r="K140" i="2" s="1"/>
  <c r="J142" i="2"/>
  <c r="K142" i="2" s="1"/>
  <c r="J143" i="2"/>
  <c r="K143" i="2" s="1"/>
  <c r="J144" i="2"/>
  <c r="K144" i="2" s="1"/>
  <c r="J145" i="2"/>
  <c r="J147" i="2"/>
  <c r="K147" i="2" s="1"/>
  <c r="J148" i="2"/>
  <c r="K148" i="2" s="1"/>
  <c r="J149" i="2"/>
  <c r="K149" i="2" s="1"/>
  <c r="J150" i="2"/>
  <c r="K150" i="2" s="1"/>
  <c r="J151" i="2"/>
  <c r="J152" i="2"/>
  <c r="J153" i="2"/>
  <c r="G153" i="2"/>
  <c r="M5" i="2"/>
  <c r="M22" i="2"/>
  <c r="M57" i="2"/>
  <c r="M16" i="2"/>
  <c r="M12" i="2"/>
  <c r="M56" i="2"/>
  <c r="M14" i="2"/>
  <c r="M24" i="2"/>
  <c r="M28" i="2"/>
  <c r="M10" i="2"/>
  <c r="M6" i="2"/>
  <c r="M66" i="2"/>
  <c r="M3" i="2"/>
  <c r="M49" i="2"/>
  <c r="M36" i="2"/>
  <c r="M64" i="2"/>
  <c r="M2" i="2"/>
  <c r="M53" i="2"/>
  <c r="M70" i="2"/>
  <c r="M32" i="2"/>
  <c r="M23" i="2"/>
  <c r="M26" i="2"/>
  <c r="M72" i="2"/>
  <c r="M74" i="2"/>
  <c r="M9" i="2"/>
  <c r="M43" i="2"/>
  <c r="M61" i="2"/>
  <c r="M69" i="2"/>
  <c r="M46" i="2"/>
  <c r="M4" i="2"/>
  <c r="M67" i="2"/>
  <c r="M21" i="2"/>
  <c r="M55" i="2"/>
  <c r="M62" i="2"/>
  <c r="M58" i="2"/>
  <c r="M52" i="2"/>
  <c r="M27" i="2"/>
  <c r="M11" i="2"/>
  <c r="M44" i="2"/>
  <c r="M68" i="2"/>
  <c r="M35" i="2"/>
  <c r="M73" i="2"/>
  <c r="M38" i="2"/>
  <c r="M31" i="2"/>
  <c r="M63" i="2"/>
  <c r="M65" i="2"/>
  <c r="M77" i="2"/>
  <c r="M78" i="2"/>
  <c r="M51" i="2"/>
  <c r="M37" i="2"/>
  <c r="M79" i="2"/>
  <c r="M71" i="2"/>
  <c r="M80" i="2"/>
  <c r="M81" i="2"/>
  <c r="M82" i="2"/>
  <c r="M83" i="2"/>
  <c r="M48" i="2"/>
  <c r="M76" i="2"/>
  <c r="M84" i="2"/>
  <c r="M50" i="2"/>
  <c r="M85" i="2"/>
  <c r="M15" i="2"/>
  <c r="M59" i="2"/>
  <c r="M75" i="2"/>
  <c r="M86" i="2"/>
  <c r="M87" i="2"/>
  <c r="M88" i="2"/>
  <c r="M89" i="2"/>
  <c r="M90" i="2"/>
  <c r="M47" i="2"/>
  <c r="M91" i="2"/>
  <c r="M92" i="2"/>
  <c r="M93" i="2"/>
  <c r="M94" i="2"/>
  <c r="M95" i="2"/>
  <c r="M96" i="2"/>
  <c r="M97" i="2"/>
  <c r="M98" i="2"/>
  <c r="M99" i="2"/>
  <c r="M100" i="2"/>
  <c r="M101" i="2"/>
  <c r="M102" i="2"/>
  <c r="M54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8" i="2"/>
  <c r="M115" i="2"/>
  <c r="M116" i="2"/>
  <c r="M117" i="2"/>
  <c r="M60" i="2"/>
  <c r="M45" i="2"/>
  <c r="M29" i="2"/>
  <c r="M40" i="2"/>
  <c r="M13" i="2"/>
  <c r="M42" i="2"/>
  <c r="M25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8" i="2"/>
  <c r="M140" i="2"/>
  <c r="M142" i="2"/>
  <c r="M143" i="2"/>
  <c r="M144" i="2"/>
  <c r="M145" i="2"/>
  <c r="M147" i="2"/>
  <c r="M148" i="2"/>
  <c r="M149" i="2"/>
  <c r="M150" i="2"/>
  <c r="M151" i="2"/>
  <c r="M152" i="2"/>
  <c r="K152" i="2"/>
  <c r="G151" i="2"/>
  <c r="K56" i="2"/>
  <c r="K14" i="2"/>
  <c r="K10" i="2"/>
  <c r="K49" i="2"/>
  <c r="K36" i="2"/>
  <c r="K26" i="2"/>
  <c r="K72" i="2"/>
  <c r="K9" i="2"/>
  <c r="K4" i="2"/>
  <c r="K67" i="2"/>
  <c r="K11" i="2"/>
  <c r="K77" i="2"/>
  <c r="K82" i="2"/>
  <c r="K59" i="2"/>
  <c r="K99" i="2"/>
  <c r="K106" i="2"/>
  <c r="K114" i="2"/>
  <c r="K123" i="2"/>
  <c r="I146" i="2"/>
  <c r="G145" i="2"/>
  <c r="I141" i="2"/>
  <c r="G141" i="2"/>
  <c r="I139" i="2"/>
  <c r="I137" i="2"/>
  <c r="G137" i="2"/>
  <c r="G136" i="2"/>
  <c r="I136" i="2"/>
  <c r="I135" i="2"/>
  <c r="G135" i="2"/>
  <c r="G134" i="2"/>
  <c r="I134" i="2"/>
  <c r="I33" i="2"/>
  <c r="G33" i="2"/>
  <c r="I17" i="2"/>
  <c r="G17" i="2"/>
  <c r="I34" i="2"/>
  <c r="G34" i="2"/>
  <c r="I39" i="2"/>
  <c r="I30" i="2"/>
  <c r="G39" i="2"/>
  <c r="G30" i="2"/>
  <c r="I19" i="2"/>
  <c r="G19" i="2"/>
  <c r="I118" i="2"/>
  <c r="G41" i="2"/>
  <c r="I41" i="2"/>
  <c r="G35" i="2"/>
  <c r="I20" i="2"/>
  <c r="G20" i="2"/>
  <c r="I8" i="2"/>
  <c r="G7" i="2"/>
  <c r="I7" i="2"/>
  <c r="K145" i="2" l="1"/>
  <c r="J7" i="2"/>
  <c r="K7" i="2" s="1"/>
  <c r="J8" i="2"/>
  <c r="K8" i="2" s="1"/>
  <c r="J20" i="2"/>
  <c r="K20" i="2" s="1"/>
  <c r="J41" i="2"/>
  <c r="K41" i="2" s="1"/>
  <c r="J118" i="2"/>
  <c r="K118" i="2" s="1"/>
  <c r="J19" i="2"/>
  <c r="K19" i="2" s="1"/>
  <c r="J30" i="2"/>
  <c r="K30" i="2" s="1"/>
  <c r="J39" i="2"/>
  <c r="K39" i="2" s="1"/>
  <c r="J34" i="2"/>
  <c r="K34" i="2" s="1"/>
  <c r="J17" i="2"/>
  <c r="J33" i="2"/>
  <c r="K33" i="2" s="1"/>
  <c r="J134" i="2"/>
  <c r="K134" i="2" s="1"/>
  <c r="J135" i="2"/>
  <c r="K135" i="2" s="1"/>
  <c r="J136" i="2"/>
  <c r="K136" i="2" s="1"/>
  <c r="J137" i="2"/>
  <c r="K137" i="2" s="1"/>
  <c r="J139" i="2"/>
  <c r="K139" i="2" s="1"/>
  <c r="J141" i="2"/>
  <c r="K141" i="2" s="1"/>
  <c r="J146" i="2"/>
  <c r="K146" i="2" s="1"/>
  <c r="K154" i="2"/>
  <c r="K153" i="2"/>
  <c r="M7" i="2"/>
  <c r="M8" i="2"/>
  <c r="M20" i="2"/>
  <c r="M41" i="2"/>
  <c r="M118" i="2"/>
  <c r="M19" i="2"/>
  <c r="M30" i="2"/>
  <c r="M39" i="2"/>
  <c r="M34" i="2"/>
  <c r="M17" i="2"/>
  <c r="M33" i="2"/>
  <c r="M134" i="2"/>
  <c r="M135" i="2"/>
  <c r="M136" i="2"/>
  <c r="M137" i="2"/>
  <c r="M139" i="2"/>
  <c r="M141" i="2"/>
  <c r="M146" i="2"/>
  <c r="K35" i="2"/>
  <c r="K17" i="2"/>
  <c r="K15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tc={CB70C7E0-7CF0-4FDE-BA5C-523ADC04D89D}</author>
    <author>tc={083F7892-0E93-40A9-A1A2-650171B0947A}</author>
    <author>tc={E24C60CE-9520-4F17-ADAD-9193C075426B}</author>
  </authors>
  <commentList>
    <comment ref="N65" authorId="0" shapeId="0" xr:uid="{CB70C7E0-7CF0-4FDE-BA5C-523ADC04D89D}">
      <text>
        <t>[Threaded comment]
Your version of Excel allows you to read this threaded comment; however, any edits to it will get removed if the file is opened in a newer version of Excel. Learn more: https://go.microsoft.com/fwlink/?linkid=870924
Comment:
    wasn't weighed until 1 day after ovens stopped</t>
      </text>
    </comment>
    <comment ref="N118" authorId="1" shapeId="0" xr:uid="{083F7892-0E93-40A9-A1A2-650171B0947A}">
      <text>
        <t>[Threaded comment]
Your version of Excel allows you to read this threaded comment; however, any edits to it will get removed if the file is opened in a newer version of Excel. Learn more: https://go.microsoft.com/fwlink/?linkid=870924
Comment:
    wasn't weighed until 1 day after ovens stopped</t>
      </text>
    </comment>
    <comment ref="P146" authorId="2" shapeId="0" xr:uid="{E24C60CE-9520-4F17-ADAD-9193C075426B}">
      <text>
        <t>[Threaded comment]
Your version of Excel allows you to read this threaded comment; however, any edits to it will get removed if the file is opened in a newer version of Excel. Learn more: https://go.microsoft.com/fwlink/?linkid=870924
Comment:
    envelope says aug 25. maybe error in the label column? I think that might be why the initial weight was missed</t>
      </text>
    </comment>
  </commentList>
</comments>
</file>

<file path=xl/sharedStrings.xml><?xml version="1.0" encoding="utf-8"?>
<sst xmlns="http://schemas.openxmlformats.org/spreadsheetml/2006/main" count="664" uniqueCount="132">
  <si>
    <t>Month</t>
  </si>
  <si>
    <t>Brachycera</t>
  </si>
  <si>
    <t>Nematocera</t>
  </si>
  <si>
    <t>Noctuidae &lt;1</t>
  </si>
  <si>
    <t>Noctuidae &gt;1</t>
  </si>
  <si>
    <t xml:space="preserve">Crambidae &lt;1 </t>
  </si>
  <si>
    <t xml:space="preserve">Crambidae &gt;1 </t>
  </si>
  <si>
    <t>Erebidae &lt;1</t>
  </si>
  <si>
    <t>Erebidae &gt;1</t>
  </si>
  <si>
    <t>Geometridae &lt;1</t>
  </si>
  <si>
    <t>Geometridae &gt;1</t>
  </si>
  <si>
    <t>Microlep</t>
  </si>
  <si>
    <t>Tortricidae &lt;1</t>
  </si>
  <si>
    <t>Tortricidae &gt;1</t>
  </si>
  <si>
    <t>Pyralidae &lt;1</t>
  </si>
  <si>
    <t>Pyralidae &gt;1</t>
  </si>
  <si>
    <t>Gelechiidae</t>
  </si>
  <si>
    <t>Lasiocampidae</t>
  </si>
  <si>
    <t>Notodontidae</t>
  </si>
  <si>
    <t>Cosmopterigidae</t>
  </si>
  <si>
    <t>Hydroptilidae</t>
  </si>
  <si>
    <t>Leptoceridae</t>
  </si>
  <si>
    <t>Limnephilidae</t>
  </si>
  <si>
    <t>Phryganeidae</t>
  </si>
  <si>
    <t>Helicopsychidae</t>
  </si>
  <si>
    <t>Caenidae</t>
  </si>
  <si>
    <t>Ephemeridae</t>
  </si>
  <si>
    <t>Heptageniidae</t>
  </si>
  <si>
    <t>Elateridae</t>
  </si>
  <si>
    <t>Silphidae</t>
  </si>
  <si>
    <t>Carabidae &lt;1</t>
  </si>
  <si>
    <t>Carabidae &gt;1</t>
  </si>
  <si>
    <t>May</t>
  </si>
  <si>
    <t>June</t>
  </si>
  <si>
    <t>22+318</t>
  </si>
  <si>
    <t>499+181</t>
  </si>
  <si>
    <t>4+7</t>
  </si>
  <si>
    <t>22+16</t>
  </si>
  <si>
    <t>28+41</t>
  </si>
  <si>
    <t>36+24</t>
  </si>
  <si>
    <t>14+13</t>
  </si>
  <si>
    <t>7+33</t>
  </si>
  <si>
    <t>43+28</t>
  </si>
  <si>
    <t>7+5</t>
  </si>
  <si>
    <t>15+11</t>
  </si>
  <si>
    <t>4+4</t>
  </si>
  <si>
    <t>July</t>
  </si>
  <si>
    <t>382+62</t>
  </si>
  <si>
    <t>309+332</t>
  </si>
  <si>
    <t>9+18</t>
  </si>
  <si>
    <t>15+64+21</t>
  </si>
  <si>
    <t>96+47+124</t>
  </si>
  <si>
    <t>20+16</t>
  </si>
  <si>
    <t>14+16+68</t>
  </si>
  <si>
    <t>22+19</t>
  </si>
  <si>
    <t>16+44+21</t>
  </si>
  <si>
    <t>22+18+14</t>
  </si>
  <si>
    <t>61+50+75</t>
  </si>
  <si>
    <t>30+14</t>
  </si>
  <si>
    <t>13+15+65</t>
  </si>
  <si>
    <t>7+9</t>
  </si>
  <si>
    <t>80+59</t>
  </si>
  <si>
    <t>16+2</t>
  </si>
  <si>
    <t>5+16+13</t>
  </si>
  <si>
    <t>96+112</t>
  </si>
  <si>
    <t>21+18</t>
  </si>
  <si>
    <t>16+16+16</t>
  </si>
  <si>
    <t>5+6+4</t>
  </si>
  <si>
    <t>161+54+19</t>
  </si>
  <si>
    <t>4+3</t>
  </si>
  <si>
    <t>Aug</t>
  </si>
  <si>
    <t>10+14</t>
  </si>
  <si>
    <t>12+10+10</t>
  </si>
  <si>
    <t>29+36</t>
  </si>
  <si>
    <t>20+11+7</t>
  </si>
  <si>
    <t>15+8</t>
  </si>
  <si>
    <t>10+7+7</t>
  </si>
  <si>
    <t>43+24</t>
  </si>
  <si>
    <t>5+2</t>
  </si>
  <si>
    <t>5+6</t>
  </si>
  <si>
    <t>Sept</t>
  </si>
  <si>
    <t>4+12</t>
  </si>
  <si>
    <t xml:space="preserve">hydrophilidae </t>
  </si>
  <si>
    <t>june</t>
  </si>
  <si>
    <t xml:space="preserve">Label </t>
  </si>
  <si>
    <t>Order</t>
  </si>
  <si>
    <t>Family</t>
  </si>
  <si>
    <t>Size</t>
  </si>
  <si>
    <t>Quantity</t>
  </si>
  <si>
    <t>Envelope+Staple weight</t>
  </si>
  <si>
    <t>Bugs+Envelope Weight</t>
  </si>
  <si>
    <t>avg bug size</t>
  </si>
  <si>
    <t>Dry Weight 1</t>
  </si>
  <si>
    <t>Drying smaller?</t>
  </si>
  <si>
    <t>Dry_Weight_Final</t>
  </si>
  <si>
    <t>Notes</t>
  </si>
  <si>
    <t>Lepidoptera</t>
  </si>
  <si>
    <t>Geometridae</t>
  </si>
  <si>
    <t>&lt;1</t>
  </si>
  <si>
    <t>Lepedoptera</t>
  </si>
  <si>
    <t>Crambidae</t>
  </si>
  <si>
    <t>Noctuidae</t>
  </si>
  <si>
    <t>NA</t>
  </si>
  <si>
    <t>Diptera</t>
  </si>
  <si>
    <t xml:space="preserve">Nematocera </t>
  </si>
  <si>
    <t>Coleoptera</t>
  </si>
  <si>
    <t>Carabidae</t>
  </si>
  <si>
    <t>&gt;1</t>
  </si>
  <si>
    <t>Trichoptera</t>
  </si>
  <si>
    <t>Erebidae</t>
  </si>
  <si>
    <t>Pyralidae</t>
  </si>
  <si>
    <t>added more to envelope</t>
  </si>
  <si>
    <t>Ephemeroptera</t>
  </si>
  <si>
    <t xml:space="preserve">for some bugs that were dried I added their fresh wet weights to their new envelope. </t>
  </si>
  <si>
    <t xml:space="preserve">Used old envelope but is combined </t>
  </si>
  <si>
    <t>Heteroceridae</t>
  </si>
  <si>
    <t>Staphylinidae</t>
  </si>
  <si>
    <t>Tortricidae</t>
  </si>
  <si>
    <t xml:space="preserve">Notodontidae </t>
  </si>
  <si>
    <t xml:space="preserve">Limnephilidae </t>
  </si>
  <si>
    <t xml:space="preserve">August </t>
  </si>
  <si>
    <t>lasiocampidae</t>
  </si>
  <si>
    <t>added more bugs to envelope</t>
  </si>
  <si>
    <t>diptera</t>
  </si>
  <si>
    <t>added more to envelope dumby numbers</t>
  </si>
  <si>
    <t>numby numebrs</t>
  </si>
  <si>
    <t>Sample_ID</t>
  </si>
  <si>
    <t>Insect_Weight</t>
  </si>
  <si>
    <t>Dry_Weight</t>
  </si>
  <si>
    <t>Lipid_Free_Weight</t>
  </si>
  <si>
    <t>Lipid Free Weight with envelope</t>
  </si>
  <si>
    <t>Lipid_Amount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</si>
</sst>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theme="9" tint="0.79998168889431442"/>
        <bgColor theme="9" tint="0.79998168889431442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  <border>
      <left/>
      <right/>
      <top style="thin">
        <color rgb="FFFFFFFF"/>
      </top>
      <bottom style="thin">
        <color rgb="FF8ED973"/>
      </bottom>
      <diagonal/>
    </border>
    <border>
      <left/>
      <right/>
      <top style="thin">
        <color rgb="FF8ED973"/>
      </top>
      <bottom/>
      <diagonal/>
    </border>
    <border>
      <left style="thin">
        <color rgb="FF8ED973"/>
      </left>
      <right/>
      <top style="thin">
        <color rgb="FF8ED973"/>
      </top>
      <bottom/>
      <diagonal/>
    </border>
    <border>
      <left/>
      <right style="thin">
        <color rgb="FF8ED973"/>
      </right>
      <top style="thin">
        <color rgb="FF8ED973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rgb="FF8ED973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14" fontId="2" fillId="0" borderId="2" xfId="0" applyNumberFormat="1" applyFont="1" applyBorder="1"/>
    <xf numFmtId="0" fontId="2" fillId="0" borderId="3" xfId="0" applyFont="1" applyBorder="1"/>
    <xf numFmtId="0" fontId="2" fillId="0" borderId="0" xfId="0" applyFont="1"/>
    <xf numFmtId="0" fontId="2" fillId="0" borderId="4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/>
    <xf numFmtId="14" fontId="2" fillId="0" borderId="7" xfId="0" applyNumberFormat="1" applyFont="1" applyBorder="1"/>
    <xf numFmtId="0" fontId="2" fillId="0" borderId="8" xfId="0" applyFont="1" applyBorder="1"/>
    <xf numFmtId="0" fontId="3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164" fontId="1" fillId="0" borderId="3" xfId="0" applyNumberFormat="1" applyFont="1" applyBorder="1"/>
    <xf numFmtId="164" fontId="2" fillId="0" borderId="3" xfId="0" applyNumberFormat="1" applyFont="1" applyBorder="1"/>
    <xf numFmtId="164" fontId="2" fillId="0" borderId="6" xfId="0" applyNumberFormat="1" applyFont="1" applyBorder="1"/>
    <xf numFmtId="164" fontId="0" fillId="0" borderId="0" xfId="0" applyNumberFormat="1"/>
    <xf numFmtId="164" fontId="2" fillId="0" borderId="0" xfId="0" applyNumberFormat="1" applyFont="1"/>
    <xf numFmtId="14" fontId="0" fillId="0" borderId="9" xfId="0" applyNumberFormat="1" applyBorder="1"/>
    <xf numFmtId="0" fontId="0" fillId="0" borderId="10" xfId="0" applyBorder="1"/>
    <xf numFmtId="14" fontId="2" fillId="0" borderId="0" xfId="0" applyNumberFormat="1" applyFont="1"/>
    <xf numFmtId="14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11" xfId="0" applyBorder="1"/>
    <xf numFmtId="0" fontId="0" fillId="8" borderId="11" xfId="0" applyFill="1" applyBorder="1"/>
    <xf numFmtId="14" fontId="0" fillId="0" borderId="0" xfId="0" applyNumberFormat="1"/>
    <xf numFmtId="0" fontId="2" fillId="0" borderId="0" xfId="0" applyFont="1" applyBorder="1"/>
    <xf numFmtId="0" fontId="2" fillId="0" borderId="12" xfId="0" applyFont="1" applyBorder="1"/>
    <xf numFmtId="0" fontId="1" fillId="0" borderId="0" xfId="0" applyFont="1" applyBorder="1"/>
    <xf numFmtId="0" fontId="0" fillId="0" borderId="0" xfId="0" applyBorder="1"/>
    <xf numFmtId="0" fontId="0" fillId="8" borderId="0" xfId="0" applyFill="1" applyBorder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numFmt numFmtId="0" formatCode="General"/>
    </dxf>
    <dxf>
      <fill>
        <patternFill patternType="none"/>
      </fill>
    </dxf>
    <dxf>
      <numFmt numFmtId="164" formatCode="0.0000"/>
    </dxf>
    <dxf>
      <numFmt numFmtId="0" formatCode="General"/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numFmt numFmtId="19" formatCode="yyyy/mm/dd"/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ma Kelly" id="{700CE2B3-00B6-458E-9A32-63FAB001823A}" userId="S::ekelly04@uoguelph.ca::f2a0c18b-2a66-4188-af83-2760cf9a68d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565E4E-D895-4B34-A2EF-F2725BD2D8BE}" name="Table1" displayName="Table1" ref="A1:S154" totalsRowShown="0" headerRowDxfId="20" dataDxfId="19">
  <autoFilter ref="A1:S154" xr:uid="{CA565E4E-D895-4B34-A2EF-F2725BD2D8BE}"/>
  <sortState xmlns:xlrd2="http://schemas.microsoft.com/office/spreadsheetml/2017/richdata2" ref="A2:S154">
    <sortCondition ref="P1:P154"/>
  </sortState>
  <tableColumns count="19">
    <tableColumn id="1" xr3:uid="{EAD6F988-57A6-4A7B-AB37-7645B341562C}" name="Month" dataDxfId="18"/>
    <tableColumn id="2" xr3:uid="{9119C412-CD23-4B3B-AF47-CAED021A465F}" name="Label " dataDxfId="17"/>
    <tableColumn id="3" xr3:uid="{E64482D3-C531-4E82-B5DC-2DE5A01129BA}" name="Order" dataDxfId="16"/>
    <tableColumn id="4" xr3:uid="{95C735DD-8A4E-474F-BC7E-D08DD45CF357}" name="Family" dataDxfId="15"/>
    <tableColumn id="13" xr3:uid="{23E6C9DC-3EC0-45AF-9190-11B074B0F848}" name="Sample_ID" dataDxfId="3">
      <calculatedColumnFormula>Table1[[#This Row],[Family]]&amp;Table1[[#This Row],[Size]]</calculatedColumnFormula>
    </tableColumn>
    <tableColumn id="5" xr3:uid="{20134590-1C5C-4350-957D-9054D42CCB95}" name="Size" dataDxfId="14"/>
    <tableColumn id="6" xr3:uid="{DF84E66E-4297-4E5E-A373-C719FF61958C}" name="Quantity" dataDxfId="13"/>
    <tableColumn id="7" xr3:uid="{7B3296E8-7A8E-411A-B119-7837F8C7D940}" name="Envelope+Staple weight" dataDxfId="12"/>
    <tableColumn id="8" xr3:uid="{D8573E08-DC5B-4B1E-950A-F1670263DE70}" name="Bugs+Envelope Weight" dataDxfId="11"/>
    <tableColumn id="9" xr3:uid="{EF259457-1D66-478D-A4C7-E0A16F055B5C}" name="Insect_Weight" dataDxfId="10">
      <calculatedColumnFormula>Table1[[#This Row],[Bugs+Envelope Weight]]-Table1[[#This Row],[Envelope+Staple weight]]</calculatedColumnFormula>
    </tableColumn>
    <tableColumn id="10" xr3:uid="{215B89B5-8EFF-44FC-9292-6932B21076A5}" name="avg bug size" dataDxfId="9">
      <calculatedColumnFormula>Table1[[#This Row],[Insect_Weight]]/Table1[[#This Row],[Quantity]]</calculatedColumnFormula>
    </tableColumn>
    <tableColumn id="11" xr3:uid="{87A87AC7-8CDC-49ED-8517-9B50EA58D73F}" name="Dry Weight 1" dataDxfId="8"/>
    <tableColumn id="16" xr3:uid="{8D712842-62A5-4FD8-A2C8-AED45499FE93}" name="Drying smaller?" dataDxfId="7">
      <calculatedColumnFormula>L2&lt;I2</calculatedColumnFormula>
    </tableColumn>
    <tableColumn id="12" xr3:uid="{BC1C00DF-B5D1-486B-AEB1-081DDB25B98E}" name="Dry_Weight_Final" dataDxfId="6"/>
    <tableColumn id="17" xr3:uid="{6154829C-15BC-4747-A80E-9C7788EAEEFE}" name="Dry_Weight" dataDxfId="2">
      <calculatedColumnFormula>Table1[[#This Row],[Dry_Weight_Final]]-Table1[[#This Row],[Envelope+Staple weight]]</calculatedColumnFormula>
    </tableColumn>
    <tableColumn id="14" xr3:uid="{ECFA0826-7ADF-4A03-978C-23FFE61FD57F}" name="Lipid Free Weight with envelope" dataDxfId="5"/>
    <tableColumn id="18" xr3:uid="{EA7ECF17-5ECA-4F4F-BF33-ED98317D0FE4}" name="Lipid_Free_Weight" dataDxfId="1">
      <calculatedColumnFormula>Table1[[#This Row],[Lipid Free Weight with envelope]]-Table1[[#This Row],[Envelope+Staple weight]]</calculatedColumnFormula>
    </tableColumn>
    <tableColumn id="19" xr3:uid="{FBADBBB3-BF0C-4AAD-A24C-03B0A2E49E2F}" name="Lipid_Amount" dataDxfId="0">
      <calculatedColumnFormula>Table1[[#This Row],[Insect_Weight]]-Table1[[#This Row],[Lipid_Free_Weight]]</calculatedColumnFormula>
    </tableColumn>
    <tableColumn id="15" xr3:uid="{CBE151ED-7056-4EA6-B653-D13AE09FC373}" name="Notes" dataDxfId="4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65" dT="2025-12-08T16:06:12.64" personId="{700CE2B3-00B6-458E-9A32-63FAB001823A}" id="{CB70C7E0-7CF0-4FDE-BA5C-523ADC04D89D}">
    <text>wasn't weighed until 1 day after ovens stopped</text>
  </threadedComment>
  <threadedComment ref="N118" dT="2025-12-08T16:06:17.89" personId="{700CE2B3-00B6-458E-9A32-63FAB001823A}" id="{083F7892-0E93-40A9-A1A2-650171B0947A}">
    <text>wasn't weighed until 1 day after ovens stopped</text>
  </threadedComment>
  <threadedComment ref="P146" dT="2026-02-05T20:43:25.92" personId="{700CE2B3-00B6-458E-9A32-63FAB001823A}" id="{E24C60CE-9520-4F17-ADAD-9193C075426B}">
    <text>envelope says aug 25. maybe error in the label column? I think that might be why the initial weight was missed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"/>
  <sheetViews>
    <sheetView workbookViewId="0">
      <selection activeCell="G15" sqref="G15"/>
    </sheetView>
  </sheetViews>
  <sheetFormatPr defaultRowHeight="15" x14ac:dyDescent="0.25"/>
  <cols>
    <col min="1" max="1" width="6.7109375" bestFit="1" customWidth="1"/>
    <col min="2" max="2" width="11.140625" bestFit="1" customWidth="1"/>
    <col min="3" max="3" width="12.140625" bestFit="1" customWidth="1"/>
    <col min="4" max="5" width="12.85546875" bestFit="1" customWidth="1"/>
    <col min="6" max="7" width="14" bestFit="1" customWidth="1"/>
    <col min="8" max="9" width="11.5703125" bestFit="1" customWidth="1"/>
    <col min="10" max="11" width="15.42578125" bestFit="1" customWidth="1"/>
    <col min="12" max="12" width="9" customWidth="1"/>
    <col min="13" max="14" width="13.42578125" bestFit="1" customWidth="1"/>
    <col min="15" max="16" width="12" bestFit="1" customWidth="1"/>
    <col min="17" max="17" width="11.85546875" bestFit="1" customWidth="1"/>
    <col min="18" max="18" width="14.85546875" bestFit="1" customWidth="1"/>
    <col min="19" max="19" width="13.42578125" bestFit="1" customWidth="1"/>
    <col min="20" max="20" width="16.5703125" bestFit="1" customWidth="1"/>
    <col min="21" max="21" width="13.42578125" bestFit="1" customWidth="1"/>
    <col min="22" max="22" width="12.85546875" bestFit="1" customWidth="1"/>
    <col min="23" max="23" width="14" bestFit="1" customWidth="1"/>
    <col min="24" max="24" width="13.28515625" bestFit="1" customWidth="1"/>
    <col min="25" max="25" width="16.140625" bestFit="1" customWidth="1"/>
    <col min="26" max="26" width="9.5703125" bestFit="1" customWidth="1"/>
    <col min="27" max="27" width="13" bestFit="1" customWidth="1"/>
    <col min="28" max="28" width="14.28515625" bestFit="1" customWidth="1"/>
    <col min="29" max="29" width="10.140625" bestFit="1" customWidth="1"/>
    <col min="30" max="30" width="9.5703125" bestFit="1" customWidth="1"/>
    <col min="31" max="32" width="12.85546875" bestFit="1" customWidth="1"/>
  </cols>
  <sheetData>
    <row r="1" spans="1:32" x14ac:dyDescent="0.25">
      <c r="A1" s="18" t="s">
        <v>0</v>
      </c>
      <c r="B1" s="19" t="s">
        <v>1</v>
      </c>
      <c r="C1" s="19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2" t="s">
        <v>25</v>
      </c>
      <c r="AA1" s="22" t="s">
        <v>26</v>
      </c>
      <c r="AB1" s="22" t="s">
        <v>27</v>
      </c>
      <c r="AC1" s="23" t="s">
        <v>28</v>
      </c>
      <c r="AD1" s="23" t="s">
        <v>29</v>
      </c>
      <c r="AE1" s="23" t="s">
        <v>30</v>
      </c>
      <c r="AF1" s="23" t="s">
        <v>31</v>
      </c>
    </row>
    <row r="2" spans="1:32" x14ac:dyDescent="0.25">
      <c r="A2" s="1" t="s">
        <v>32</v>
      </c>
      <c r="B2" s="2">
        <v>0</v>
      </c>
      <c r="C2" s="2">
        <v>120</v>
      </c>
      <c r="D2" s="3">
        <v>0</v>
      </c>
      <c r="E2" s="3">
        <v>6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3</v>
      </c>
      <c r="S2" s="3">
        <v>3</v>
      </c>
      <c r="T2" s="3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5">
        <v>0</v>
      </c>
      <c r="AA2" s="5">
        <v>0</v>
      </c>
      <c r="AB2" s="5">
        <v>0</v>
      </c>
      <c r="AC2" s="6">
        <v>0</v>
      </c>
      <c r="AD2" s="6">
        <v>0</v>
      </c>
      <c r="AE2" s="6">
        <v>0</v>
      </c>
      <c r="AF2" s="6">
        <v>0</v>
      </c>
    </row>
    <row r="3" spans="1:32" x14ac:dyDescent="0.25">
      <c r="A3" s="1" t="s">
        <v>33</v>
      </c>
      <c r="B3" s="2" t="s">
        <v>34</v>
      </c>
      <c r="C3" s="2" t="s">
        <v>35</v>
      </c>
      <c r="D3" s="3" t="s">
        <v>36</v>
      </c>
      <c r="E3" s="3" t="s">
        <v>37</v>
      </c>
      <c r="F3" s="3" t="s">
        <v>38</v>
      </c>
      <c r="G3" s="3" t="s">
        <v>39</v>
      </c>
      <c r="H3" s="3">
        <v>18</v>
      </c>
      <c r="I3" s="3" t="s">
        <v>40</v>
      </c>
      <c r="J3" s="3" t="s">
        <v>41</v>
      </c>
      <c r="K3" s="3" t="s">
        <v>42</v>
      </c>
      <c r="L3" s="3">
        <v>0</v>
      </c>
      <c r="M3" s="3">
        <v>107</v>
      </c>
      <c r="N3" s="3">
        <v>40</v>
      </c>
      <c r="O3" s="3">
        <v>28</v>
      </c>
      <c r="P3" s="3">
        <v>0</v>
      </c>
      <c r="Q3" s="3">
        <v>59</v>
      </c>
      <c r="R3" s="3" t="s">
        <v>43</v>
      </c>
      <c r="S3" s="3" t="s">
        <v>44</v>
      </c>
      <c r="T3" s="3">
        <v>0</v>
      </c>
      <c r="U3" s="4">
        <v>0</v>
      </c>
      <c r="V3" s="4">
        <v>15</v>
      </c>
      <c r="W3" s="4">
        <v>39</v>
      </c>
      <c r="X3" s="4">
        <v>24</v>
      </c>
      <c r="Y3" s="4">
        <v>0</v>
      </c>
      <c r="Z3" s="5">
        <v>210</v>
      </c>
      <c r="AA3" s="5">
        <v>10</v>
      </c>
      <c r="AB3" s="5">
        <v>23</v>
      </c>
      <c r="AC3" s="6">
        <v>17</v>
      </c>
      <c r="AD3" s="6" t="s">
        <v>45</v>
      </c>
      <c r="AE3" s="6">
        <v>41</v>
      </c>
      <c r="AF3" s="6">
        <v>4</v>
      </c>
    </row>
    <row r="4" spans="1:32" x14ac:dyDescent="0.25">
      <c r="A4" s="1" t="s">
        <v>46</v>
      </c>
      <c r="B4" s="2" t="s">
        <v>47</v>
      </c>
      <c r="C4" s="2" t="s">
        <v>48</v>
      </c>
      <c r="D4" s="3" t="s">
        <v>49</v>
      </c>
      <c r="E4" s="3" t="s">
        <v>50</v>
      </c>
      <c r="F4" s="3" t="s">
        <v>51</v>
      </c>
      <c r="G4" s="3" t="s">
        <v>52</v>
      </c>
      <c r="H4" s="3" t="s">
        <v>53</v>
      </c>
      <c r="I4" s="3" t="s">
        <v>54</v>
      </c>
      <c r="J4" s="3" t="s">
        <v>55</v>
      </c>
      <c r="K4" s="3" t="s">
        <v>56</v>
      </c>
      <c r="L4" s="3">
        <v>194</v>
      </c>
      <c r="M4" s="3" t="s">
        <v>57</v>
      </c>
      <c r="N4" s="3" t="s">
        <v>58</v>
      </c>
      <c r="O4" s="3" t="s">
        <v>59</v>
      </c>
      <c r="P4" s="3" t="s">
        <v>60</v>
      </c>
      <c r="Q4" s="3" t="s">
        <v>61</v>
      </c>
      <c r="R4" s="3" t="s">
        <v>62</v>
      </c>
      <c r="S4" s="3" t="s">
        <v>63</v>
      </c>
      <c r="T4" s="3">
        <v>92</v>
      </c>
      <c r="U4" s="4">
        <v>283</v>
      </c>
      <c r="V4" s="4" t="s">
        <v>64</v>
      </c>
      <c r="W4" s="4" t="s">
        <v>65</v>
      </c>
      <c r="X4" s="4" t="s">
        <v>66</v>
      </c>
      <c r="Y4" s="4">
        <v>338</v>
      </c>
      <c r="Z4" s="5">
        <v>0</v>
      </c>
      <c r="AA4" s="5">
        <v>0</v>
      </c>
      <c r="AB4" s="5">
        <v>0</v>
      </c>
      <c r="AC4" s="6">
        <v>0</v>
      </c>
      <c r="AD4" s="6" t="s">
        <v>67</v>
      </c>
      <c r="AE4" s="6" t="s">
        <v>68</v>
      </c>
      <c r="AF4" s="6" t="s">
        <v>69</v>
      </c>
    </row>
    <row r="5" spans="1:32" x14ac:dyDescent="0.25">
      <c r="A5" s="1" t="s">
        <v>70</v>
      </c>
      <c r="B5" s="2">
        <v>0</v>
      </c>
      <c r="C5" s="2">
        <v>354</v>
      </c>
      <c r="D5" s="3" t="s">
        <v>71</v>
      </c>
      <c r="E5" s="3" t="s">
        <v>72</v>
      </c>
      <c r="F5" s="3" t="s">
        <v>73</v>
      </c>
      <c r="G5" s="3" t="s">
        <v>74</v>
      </c>
      <c r="H5" s="3">
        <v>0</v>
      </c>
      <c r="I5" s="3" t="s">
        <v>75</v>
      </c>
      <c r="J5" s="3">
        <v>17</v>
      </c>
      <c r="K5" s="3" t="s">
        <v>76</v>
      </c>
      <c r="L5" s="3">
        <v>0</v>
      </c>
      <c r="M5" s="3" t="s">
        <v>77</v>
      </c>
      <c r="N5" s="3">
        <v>0</v>
      </c>
      <c r="O5" s="3">
        <v>0</v>
      </c>
      <c r="P5" s="3">
        <v>0</v>
      </c>
      <c r="Q5" s="3">
        <v>0</v>
      </c>
      <c r="R5" s="3">
        <v>3</v>
      </c>
      <c r="S5" s="3" t="s">
        <v>78</v>
      </c>
      <c r="T5" s="3">
        <v>0</v>
      </c>
      <c r="U5" s="4">
        <v>0</v>
      </c>
      <c r="V5" s="4">
        <v>43</v>
      </c>
      <c r="W5" s="4">
        <v>14</v>
      </c>
      <c r="X5" s="4" t="s">
        <v>79</v>
      </c>
      <c r="Y5" s="4">
        <v>0</v>
      </c>
      <c r="Z5" s="5">
        <v>215</v>
      </c>
      <c r="AA5" s="5">
        <v>0</v>
      </c>
      <c r="AB5" s="5">
        <v>0</v>
      </c>
      <c r="AC5" s="6">
        <v>4</v>
      </c>
      <c r="AD5" s="6">
        <v>1</v>
      </c>
      <c r="AE5" s="6">
        <v>0</v>
      </c>
      <c r="AF5" s="6">
        <v>0</v>
      </c>
    </row>
    <row r="6" spans="1:32" x14ac:dyDescent="0.25">
      <c r="A6" s="1" t="s">
        <v>80</v>
      </c>
      <c r="B6" s="2">
        <v>0</v>
      </c>
      <c r="C6" s="2">
        <v>0</v>
      </c>
      <c r="D6" s="3">
        <v>0</v>
      </c>
      <c r="E6" s="3" t="s">
        <v>81</v>
      </c>
      <c r="F6" s="3">
        <v>0</v>
      </c>
      <c r="G6" s="3">
        <v>0</v>
      </c>
      <c r="H6" s="3">
        <v>0</v>
      </c>
      <c r="I6" s="3">
        <v>3</v>
      </c>
      <c r="J6" s="3">
        <v>0</v>
      </c>
      <c r="K6" s="3">
        <v>0</v>
      </c>
      <c r="L6" s="3">
        <v>0</v>
      </c>
      <c r="M6" s="3">
        <v>37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4">
        <v>0</v>
      </c>
      <c r="V6" s="4">
        <v>0</v>
      </c>
      <c r="W6" s="4">
        <v>12</v>
      </c>
      <c r="X6" s="4">
        <v>0</v>
      </c>
      <c r="Y6" s="4">
        <v>0</v>
      </c>
      <c r="Z6" s="5">
        <v>0</v>
      </c>
      <c r="AA6" s="5">
        <v>0</v>
      </c>
      <c r="AB6" s="5">
        <v>0</v>
      </c>
      <c r="AC6" s="6">
        <v>0</v>
      </c>
      <c r="AD6" s="6">
        <v>0</v>
      </c>
      <c r="AE6" s="6">
        <v>0</v>
      </c>
      <c r="AF6" s="6">
        <v>0</v>
      </c>
    </row>
    <row r="15" spans="1:32" x14ac:dyDescent="0.25">
      <c r="D15" t="s">
        <v>82</v>
      </c>
      <c r="E15" t="s">
        <v>83</v>
      </c>
      <c r="F15">
        <v>0.96799999999999997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2F0B0-994C-45C6-A465-BA1D3A5A3292}">
  <dimension ref="A1:S154"/>
  <sheetViews>
    <sheetView tabSelected="1" topLeftCell="J1" workbookViewId="0">
      <selection activeCell="R3" sqref="R3"/>
    </sheetView>
  </sheetViews>
  <sheetFormatPr defaultColWidth="9.140625" defaultRowHeight="15" customHeight="1" x14ac:dyDescent="0.25"/>
  <cols>
    <col min="1" max="1" width="9" bestFit="1" customWidth="1"/>
    <col min="2" max="2" width="14.5703125" customWidth="1"/>
    <col min="3" max="3" width="14.5703125" bestFit="1" customWidth="1"/>
    <col min="4" max="4" width="16" bestFit="1" customWidth="1"/>
    <col min="5" max="5" width="16" customWidth="1"/>
    <col min="6" max="7" width="11.5703125" bestFit="1" customWidth="1"/>
    <col min="8" max="8" width="22.85546875" customWidth="1"/>
    <col min="9" max="9" width="24.28515625" customWidth="1"/>
    <col min="10" max="10" width="13" customWidth="1"/>
    <col min="11" max="11" width="13" style="27" customWidth="1"/>
    <col min="12" max="13" width="12.5703125" customWidth="1"/>
    <col min="14" max="14" width="12.5703125" bestFit="1" customWidth="1"/>
    <col min="15" max="15" width="12.5703125" customWidth="1"/>
    <col min="16" max="16" width="19.7109375" bestFit="1" customWidth="1"/>
    <col min="17" max="18" width="19.7109375" customWidth="1"/>
    <col min="19" max="19" width="9.140625" customWidth="1"/>
  </cols>
  <sheetData>
    <row r="1" spans="1:19" x14ac:dyDescent="0.25">
      <c r="A1" t="s">
        <v>0</v>
      </c>
      <c r="B1" s="11" t="s">
        <v>84</v>
      </c>
      <c r="C1" s="12" t="s">
        <v>85</v>
      </c>
      <c r="D1" s="12" t="s">
        <v>86</v>
      </c>
      <c r="E1" s="12" t="s">
        <v>126</v>
      </c>
      <c r="F1" s="12" t="s">
        <v>87</v>
      </c>
      <c r="G1" s="12" t="s">
        <v>88</v>
      </c>
      <c r="H1" s="12" t="s">
        <v>89</v>
      </c>
      <c r="I1" s="12" t="s">
        <v>90</v>
      </c>
      <c r="J1" s="12" t="s">
        <v>127</v>
      </c>
      <c r="K1" s="24" t="s">
        <v>91</v>
      </c>
      <c r="L1" s="12" t="s">
        <v>92</v>
      </c>
      <c r="M1" s="12" t="s">
        <v>93</v>
      </c>
      <c r="N1" s="12" t="s">
        <v>94</v>
      </c>
      <c r="O1" s="12" t="s">
        <v>128</v>
      </c>
      <c r="P1" s="13" t="s">
        <v>130</v>
      </c>
      <c r="Q1" s="40" t="s">
        <v>129</v>
      </c>
      <c r="R1" s="40" t="s">
        <v>131</v>
      </c>
      <c r="S1" t="s">
        <v>95</v>
      </c>
    </row>
    <row r="2" spans="1:19" x14ac:dyDescent="0.25">
      <c r="A2" t="s">
        <v>33</v>
      </c>
      <c r="B2" s="7">
        <v>45819</v>
      </c>
      <c r="C2" s="8" t="s">
        <v>96</v>
      </c>
      <c r="D2" s="8" t="s">
        <v>97</v>
      </c>
      <c r="E2" s="8" t="str">
        <f>Table1[[#This Row],[Family]]&amp;Table1[[#This Row],[Size]]</f>
        <v>Geometridae&lt;1</v>
      </c>
      <c r="F2" s="8" t="s">
        <v>98</v>
      </c>
      <c r="G2" s="8">
        <v>7</v>
      </c>
      <c r="H2" s="8">
        <v>0.42799999999999999</v>
      </c>
      <c r="I2" s="8">
        <v>0.53600000000000003</v>
      </c>
      <c r="J2" s="8">
        <f>Table1[[#This Row],[Bugs+Envelope Weight]]-Table1[[#This Row],[Envelope+Staple weight]]</f>
        <v>0.10800000000000004</v>
      </c>
      <c r="K2" s="25">
        <f>Table1[[#This Row],[Insect_Weight]]/Table1[[#This Row],[Quantity]]</f>
        <v>1.5428571428571434E-2</v>
      </c>
      <c r="L2" s="8">
        <v>0.45600000000000002</v>
      </c>
      <c r="M2" s="8" t="b">
        <f t="shared" ref="M2:M33" si="0">L2&lt;I2</f>
        <v>1</v>
      </c>
      <c r="N2" s="8">
        <v>0.45200000000000001</v>
      </c>
      <c r="O2" s="8">
        <f>Table1[[#This Row],[Dry_Weight_Final]]-Table1[[#This Row],[Envelope+Staple weight]]</f>
        <v>2.4000000000000021E-2</v>
      </c>
      <c r="P2" s="10">
        <v>0.45029999999999998</v>
      </c>
      <c r="Q2" s="38">
        <f>Table1[[#This Row],[Lipid Free Weight with envelope]]-Table1[[#This Row],[Envelope+Staple weight]]</f>
        <v>2.2299999999999986E-2</v>
      </c>
      <c r="R2" s="38">
        <f>Table1[[#This Row],[Insect_Weight]]-Table1[[#This Row],[Lipid_Free_Weight]]</f>
        <v>8.5700000000000054E-2</v>
      </c>
    </row>
    <row r="3" spans="1:19" x14ac:dyDescent="0.25">
      <c r="A3" t="s">
        <v>33</v>
      </c>
      <c r="B3" s="7">
        <v>45819</v>
      </c>
      <c r="C3" s="8" t="s">
        <v>99</v>
      </c>
      <c r="D3" s="8" t="s">
        <v>100</v>
      </c>
      <c r="E3" s="8" t="str">
        <f>Table1[[#This Row],[Family]]&amp;Table1[[#This Row],[Size]]</f>
        <v>Crambidae&lt;1</v>
      </c>
      <c r="F3" s="8" t="s">
        <v>98</v>
      </c>
      <c r="G3" s="8">
        <v>28</v>
      </c>
      <c r="H3" s="8">
        <v>0.42599999999999999</v>
      </c>
      <c r="I3" s="8">
        <v>0.53</v>
      </c>
      <c r="J3" s="8">
        <f>Table1[[#This Row],[Bugs+Envelope Weight]]-Table1[[#This Row],[Envelope+Staple weight]]</f>
        <v>0.10400000000000004</v>
      </c>
      <c r="K3" s="25">
        <f>Table1[[#This Row],[Insect_Weight]]/Table1[[#This Row],[Quantity]]</f>
        <v>3.7142857142857155E-3</v>
      </c>
      <c r="L3" s="8">
        <v>0.46</v>
      </c>
      <c r="M3" s="8" t="b">
        <f t="shared" si="0"/>
        <v>1</v>
      </c>
      <c r="N3" s="8">
        <v>0.46</v>
      </c>
      <c r="O3" s="8">
        <f>Table1[[#This Row],[Dry_Weight_Final]]-Table1[[#This Row],[Envelope+Staple weight]]</f>
        <v>3.400000000000003E-2</v>
      </c>
      <c r="P3" s="10">
        <v>0.4516</v>
      </c>
      <c r="Q3" s="38">
        <f>Table1[[#This Row],[Lipid Free Weight with envelope]]-Table1[[#This Row],[Envelope+Staple weight]]</f>
        <v>2.5600000000000012E-2</v>
      </c>
      <c r="R3" s="38">
        <f>Table1[[#This Row],[Insect_Weight]]-Table1[[#This Row],[Lipid_Free_Weight]]</f>
        <v>7.8400000000000025E-2</v>
      </c>
    </row>
    <row r="4" spans="1:19" x14ac:dyDescent="0.25">
      <c r="A4" t="s">
        <v>33</v>
      </c>
      <c r="B4" s="7">
        <v>45830</v>
      </c>
      <c r="C4" s="8" t="s">
        <v>96</v>
      </c>
      <c r="D4" s="8" t="s">
        <v>101</v>
      </c>
      <c r="E4" s="8" t="str">
        <f>Table1[[#This Row],[Family]]&amp;Table1[[#This Row],[Size]]</f>
        <v>Noctuidae&lt;1</v>
      </c>
      <c r="F4" s="8" t="s">
        <v>98</v>
      </c>
      <c r="G4" s="8">
        <v>7</v>
      </c>
      <c r="H4" s="8">
        <v>0.43099999999999999</v>
      </c>
      <c r="I4" s="8">
        <v>0.55800000000000005</v>
      </c>
      <c r="J4" s="8">
        <f>Table1[[#This Row],[Bugs+Envelope Weight]]-Table1[[#This Row],[Envelope+Staple weight]]</f>
        <v>0.12700000000000006</v>
      </c>
      <c r="K4" s="25">
        <f>Table1[[#This Row],[Insect_Weight]]/Table1[[#This Row],[Quantity]]</f>
        <v>1.8142857142857152E-2</v>
      </c>
      <c r="L4" s="8">
        <v>0.46100000000000002</v>
      </c>
      <c r="M4" s="8" t="b">
        <f t="shared" si="0"/>
        <v>1</v>
      </c>
      <c r="N4" s="8">
        <v>0.46100000000000002</v>
      </c>
      <c r="O4" s="8">
        <f>Table1[[#This Row],[Dry_Weight_Final]]-Table1[[#This Row],[Envelope+Staple weight]]</f>
        <v>3.0000000000000027E-2</v>
      </c>
      <c r="P4" s="10">
        <v>0.45469999999999999</v>
      </c>
      <c r="Q4" s="38">
        <f>Table1[[#This Row],[Lipid Free Weight with envelope]]-Table1[[#This Row],[Envelope+Staple weight]]</f>
        <v>2.3699999999999999E-2</v>
      </c>
      <c r="R4" s="38">
        <f>Table1[[#This Row],[Insect_Weight]]-Table1[[#This Row],[Lipid_Free_Weight]]</f>
        <v>0.10330000000000006</v>
      </c>
    </row>
    <row r="5" spans="1:19" x14ac:dyDescent="0.25">
      <c r="A5" t="s">
        <v>32</v>
      </c>
      <c r="B5" s="7">
        <v>45808</v>
      </c>
      <c r="C5" s="8" t="s">
        <v>99</v>
      </c>
      <c r="D5" s="8" t="s">
        <v>17</v>
      </c>
      <c r="E5" s="8" t="str">
        <f>Table1[[#This Row],[Family]]&amp;Table1[[#This Row],[Size]]</f>
        <v>Lasiocampidae</v>
      </c>
      <c r="F5" s="8"/>
      <c r="G5" s="8">
        <v>1</v>
      </c>
      <c r="H5" s="8">
        <v>0.42399999999999999</v>
      </c>
      <c r="I5" s="8">
        <v>0.59099999999999997</v>
      </c>
      <c r="J5" s="8">
        <f>Table1[[#This Row],[Bugs+Envelope Weight]]-Table1[[#This Row],[Envelope+Staple weight]]</f>
        <v>0.16699999999999998</v>
      </c>
      <c r="K5" s="25">
        <f>Table1[[#This Row],[Insect_Weight]]/Table1[[#This Row],[Quantity]]</f>
        <v>0.16699999999999998</v>
      </c>
      <c r="L5" s="8">
        <v>0.47799999999999998</v>
      </c>
      <c r="M5" s="8" t="b">
        <f t="shared" si="0"/>
        <v>1</v>
      </c>
      <c r="N5" s="8">
        <v>0.47899999999999998</v>
      </c>
      <c r="O5" s="8">
        <f>Table1[[#This Row],[Dry_Weight_Final]]-Table1[[#This Row],[Envelope+Staple weight]]</f>
        <v>5.4999999999999993E-2</v>
      </c>
      <c r="P5" s="10">
        <v>0.45660000000000001</v>
      </c>
      <c r="Q5" s="38">
        <f>Table1[[#This Row],[Lipid Free Weight with envelope]]-Table1[[#This Row],[Envelope+Staple weight]]</f>
        <v>3.2600000000000018E-2</v>
      </c>
      <c r="R5" s="38">
        <f>Table1[[#This Row],[Insect_Weight]]-Table1[[#This Row],[Lipid_Free_Weight]]</f>
        <v>0.13439999999999996</v>
      </c>
    </row>
    <row r="6" spans="1:19" x14ac:dyDescent="0.25">
      <c r="A6" t="s">
        <v>33</v>
      </c>
      <c r="B6" s="31">
        <v>45819</v>
      </c>
      <c r="C6" s="9" t="s">
        <v>96</v>
      </c>
      <c r="D6" s="8" t="s">
        <v>101</v>
      </c>
      <c r="E6" s="38" t="str">
        <f>Table1[[#This Row],[Family]]&amp;Table1[[#This Row],[Size]]</f>
        <v>Noctuidae&lt;1</v>
      </c>
      <c r="F6" s="9" t="s">
        <v>98</v>
      </c>
      <c r="G6" s="9">
        <v>4</v>
      </c>
      <c r="H6" s="9">
        <v>0.42599999999999999</v>
      </c>
      <c r="I6" s="9">
        <v>0.55800000000000005</v>
      </c>
      <c r="J6" s="8">
        <f>Table1[[#This Row],[Bugs+Envelope Weight]]-Table1[[#This Row],[Envelope+Staple weight]]</f>
        <v>0.13200000000000006</v>
      </c>
      <c r="K6" s="28">
        <f>Table1[[#This Row],[Insect_Weight]]/Table1[[#This Row],[Quantity]]</f>
        <v>3.3000000000000015E-2</v>
      </c>
      <c r="L6" s="9">
        <v>0.46200000000000002</v>
      </c>
      <c r="M6" s="9" t="b">
        <f t="shared" si="0"/>
        <v>1</v>
      </c>
      <c r="N6" s="9">
        <v>0.46200000000000002</v>
      </c>
      <c r="O6" s="9">
        <f>Table1[[#This Row],[Dry_Weight_Final]]-Table1[[#This Row],[Envelope+Staple weight]]</f>
        <v>3.6000000000000032E-2</v>
      </c>
      <c r="P6" s="9">
        <v>0.4587</v>
      </c>
      <c r="Q6" s="9">
        <f>Table1[[#This Row],[Lipid Free Weight with envelope]]-Table1[[#This Row],[Envelope+Staple weight]]</f>
        <v>3.2700000000000007E-2</v>
      </c>
      <c r="R6" s="9">
        <f>Table1[[#This Row],[Insect_Weight]]-Table1[[#This Row],[Lipid_Free_Weight]]</f>
        <v>9.9300000000000055E-2</v>
      </c>
    </row>
    <row r="7" spans="1:19" x14ac:dyDescent="0.25">
      <c r="A7" t="s">
        <v>32</v>
      </c>
      <c r="B7" s="37" t="s">
        <v>102</v>
      </c>
      <c r="C7" t="s">
        <v>103</v>
      </c>
      <c r="D7" s="9" t="s">
        <v>104</v>
      </c>
      <c r="E7" s="9" t="str">
        <f>Table1[[#This Row],[Family]]&amp;Table1[[#This Row],[Size]]</f>
        <v xml:space="preserve">Nematocera </v>
      </c>
      <c r="G7">
        <f>65+55</f>
        <v>120</v>
      </c>
      <c r="H7">
        <v>0.42399999999999999</v>
      </c>
      <c r="I7">
        <f>0.424+0.119</f>
        <v>0.54299999999999993</v>
      </c>
      <c r="J7" s="8">
        <f>Table1[[#This Row],[Bugs+Envelope Weight]]-Table1[[#This Row],[Envelope+Staple weight]]</f>
        <v>0.11899999999999994</v>
      </c>
      <c r="K7" s="28">
        <f>Table1[[#This Row],[Insect_Weight]]/Table1[[#This Row],[Quantity]]</f>
        <v>9.9166666666666609E-4</v>
      </c>
      <c r="L7">
        <v>0.46200000000000002</v>
      </c>
      <c r="M7" t="b">
        <f t="shared" si="0"/>
        <v>1</v>
      </c>
      <c r="N7">
        <v>0.46300000000000002</v>
      </c>
      <c r="O7">
        <f>Table1[[#This Row],[Dry_Weight_Final]]-Table1[[#This Row],[Envelope+Staple weight]]</f>
        <v>3.9000000000000035E-2</v>
      </c>
      <c r="P7">
        <v>0.4597</v>
      </c>
      <c r="Q7">
        <f>Table1[[#This Row],[Lipid Free Weight with envelope]]-Table1[[#This Row],[Envelope+Staple weight]]</f>
        <v>3.570000000000001E-2</v>
      </c>
      <c r="R7">
        <f>Table1[[#This Row],[Insect_Weight]]-Table1[[#This Row],[Lipid_Free_Weight]]</f>
        <v>8.329999999999993E-2</v>
      </c>
    </row>
    <row r="8" spans="1:19" x14ac:dyDescent="0.25">
      <c r="A8" t="s">
        <v>33</v>
      </c>
      <c r="B8" s="32" t="s">
        <v>102</v>
      </c>
      <c r="C8" s="33" t="s">
        <v>105</v>
      </c>
      <c r="D8" s="33" t="s">
        <v>106</v>
      </c>
      <c r="E8" s="33" t="str">
        <f>Table1[[#This Row],[Family]]&amp;Table1[[#This Row],[Size]]</f>
        <v>Carabidae&gt;1</v>
      </c>
      <c r="F8" s="33" t="s">
        <v>107</v>
      </c>
      <c r="G8" s="33">
        <v>4</v>
      </c>
      <c r="H8" s="33">
        <v>0.42899999999999999</v>
      </c>
      <c r="I8" s="33">
        <f>H8+0.043+0.071</f>
        <v>0.54299999999999993</v>
      </c>
      <c r="J8" s="8">
        <f>Table1[[#This Row],[Bugs+Envelope Weight]]-Table1[[#This Row],[Envelope+Staple weight]]</f>
        <v>0.11399999999999993</v>
      </c>
      <c r="K8" s="25">
        <f>Table1[[#This Row],[Insect_Weight]]/Table1[[#This Row],[Quantity]]</f>
        <v>2.8499999999999984E-2</v>
      </c>
      <c r="L8" s="33">
        <v>0.46800000000000003</v>
      </c>
      <c r="M8" s="33" t="b">
        <f t="shared" si="0"/>
        <v>1</v>
      </c>
      <c r="N8" s="33">
        <v>0.46899999999999997</v>
      </c>
      <c r="O8" s="33">
        <f>Table1[[#This Row],[Dry_Weight_Final]]-Table1[[#This Row],[Envelope+Staple weight]]</f>
        <v>3.999999999999998E-2</v>
      </c>
      <c r="P8" s="34">
        <v>0.46129999999999999</v>
      </c>
      <c r="Q8" s="41">
        <f>Table1[[#This Row],[Lipid Free Weight with envelope]]-Table1[[#This Row],[Envelope+Staple weight]]</f>
        <v>3.2299999999999995E-2</v>
      </c>
      <c r="R8" s="41">
        <f>Table1[[#This Row],[Insect_Weight]]-Table1[[#This Row],[Lipid_Free_Weight]]</f>
        <v>8.1699999999999939E-2</v>
      </c>
    </row>
    <row r="9" spans="1:19" x14ac:dyDescent="0.25">
      <c r="A9" t="s">
        <v>33</v>
      </c>
      <c r="B9" s="7">
        <v>45819</v>
      </c>
      <c r="C9" s="8" t="s">
        <v>103</v>
      </c>
      <c r="D9" s="8" t="s">
        <v>104</v>
      </c>
      <c r="E9" s="8" t="str">
        <f>Table1[[#This Row],[Family]]&amp;Table1[[#This Row],[Size]]</f>
        <v xml:space="preserve">Nematocera </v>
      </c>
      <c r="F9" s="8"/>
      <c r="G9" s="8">
        <v>181</v>
      </c>
      <c r="H9" s="8">
        <v>0.43</v>
      </c>
      <c r="I9" s="8">
        <v>0.54</v>
      </c>
      <c r="J9" s="8">
        <f>Table1[[#This Row],[Bugs+Envelope Weight]]-Table1[[#This Row],[Envelope+Staple weight]]</f>
        <v>0.11000000000000004</v>
      </c>
      <c r="K9" s="25">
        <f>Table1[[#This Row],[Insect_Weight]]/Table1[[#This Row],[Quantity]]</f>
        <v>6.0773480662983451E-4</v>
      </c>
      <c r="L9" s="8">
        <v>0.46600000000000003</v>
      </c>
      <c r="M9" s="8" t="b">
        <f t="shared" si="0"/>
        <v>1</v>
      </c>
      <c r="N9" s="8">
        <v>0.46600000000000003</v>
      </c>
      <c r="O9" s="8">
        <f>Table1[[#This Row],[Dry_Weight_Final]]-Table1[[#This Row],[Envelope+Staple weight]]</f>
        <v>3.6000000000000032E-2</v>
      </c>
      <c r="P9" s="10">
        <v>0.46560000000000001</v>
      </c>
      <c r="Q9" s="38">
        <f>Table1[[#This Row],[Lipid Free Weight with envelope]]-Table1[[#This Row],[Envelope+Staple weight]]</f>
        <v>3.5600000000000021E-2</v>
      </c>
      <c r="R9" s="38">
        <f>Table1[[#This Row],[Insect_Weight]]-Table1[[#This Row],[Lipid_Free_Weight]]</f>
        <v>7.4400000000000022E-2</v>
      </c>
    </row>
    <row r="10" spans="1:19" x14ac:dyDescent="0.25">
      <c r="A10" t="s">
        <v>33</v>
      </c>
      <c r="B10" s="7">
        <v>45819</v>
      </c>
      <c r="C10" s="8" t="s">
        <v>103</v>
      </c>
      <c r="D10" s="8" t="s">
        <v>1</v>
      </c>
      <c r="E10" s="8" t="str">
        <f>Table1[[#This Row],[Family]]&amp;Table1[[#This Row],[Size]]</f>
        <v>Brachycera</v>
      </c>
      <c r="F10" s="8"/>
      <c r="G10" s="8">
        <v>22</v>
      </c>
      <c r="H10" s="8">
        <v>0.438</v>
      </c>
      <c r="I10" s="8">
        <v>0.57499999999999996</v>
      </c>
      <c r="J10" s="8">
        <f>Table1[[#This Row],[Bugs+Envelope Weight]]-Table1[[#This Row],[Envelope+Staple weight]]</f>
        <v>0.13699999999999996</v>
      </c>
      <c r="K10" s="25">
        <f>Table1[[#This Row],[Insect_Weight]]/Table1[[#This Row],[Quantity]]</f>
        <v>6.2272727272727254E-3</v>
      </c>
      <c r="L10" s="8">
        <v>0.47399999999999998</v>
      </c>
      <c r="M10" s="8" t="b">
        <f t="shared" si="0"/>
        <v>1</v>
      </c>
      <c r="N10" s="8">
        <v>0.47399999999999998</v>
      </c>
      <c r="O10" s="8">
        <f>Table1[[#This Row],[Dry_Weight_Final]]-Table1[[#This Row],[Envelope+Staple weight]]</f>
        <v>3.5999999999999976E-2</v>
      </c>
      <c r="P10" s="10">
        <v>0.47060000000000002</v>
      </c>
      <c r="Q10" s="38">
        <f>Table1[[#This Row],[Lipid Free Weight with envelope]]-Table1[[#This Row],[Envelope+Staple weight]]</f>
        <v>3.2600000000000018E-2</v>
      </c>
      <c r="R10" s="38">
        <f>Table1[[#This Row],[Insect_Weight]]-Table1[[#This Row],[Lipid_Free_Weight]]</f>
        <v>0.10439999999999994</v>
      </c>
    </row>
    <row r="11" spans="1:19" x14ac:dyDescent="0.25">
      <c r="A11" t="s">
        <v>33</v>
      </c>
      <c r="B11" s="7">
        <v>45819</v>
      </c>
      <c r="C11" s="8" t="s">
        <v>108</v>
      </c>
      <c r="D11" s="8" t="s">
        <v>21</v>
      </c>
      <c r="E11" s="38" t="str">
        <f>Table1[[#This Row],[Family]]&amp;Table1[[#This Row],[Size]]</f>
        <v>Leptoceridae</v>
      </c>
      <c r="F11" s="9"/>
      <c r="G11" s="8">
        <v>15</v>
      </c>
      <c r="H11" s="8">
        <v>0.41899999999999998</v>
      </c>
      <c r="I11" s="8">
        <v>0.65100000000000002</v>
      </c>
      <c r="J11" s="8">
        <f>Table1[[#This Row],[Bugs+Envelope Weight]]-Table1[[#This Row],[Envelope+Staple weight]]</f>
        <v>0.23200000000000004</v>
      </c>
      <c r="K11" s="25">
        <f>Table1[[#This Row],[Insect_Weight]]/Table1[[#This Row],[Quantity]]</f>
        <v>1.5466666666666668E-2</v>
      </c>
      <c r="L11" s="8">
        <v>0.48499999999999999</v>
      </c>
      <c r="M11" s="8" t="b">
        <f t="shared" si="0"/>
        <v>1</v>
      </c>
      <c r="N11" s="8">
        <v>0.48499999999999999</v>
      </c>
      <c r="O11" s="8">
        <f>Table1[[#This Row],[Dry_Weight_Final]]-Table1[[#This Row],[Envelope+Staple weight]]</f>
        <v>6.6000000000000003E-2</v>
      </c>
      <c r="P11" s="10">
        <v>0.47520000000000001</v>
      </c>
      <c r="Q11" s="38">
        <f>Table1[[#This Row],[Lipid Free Weight with envelope]]-Table1[[#This Row],[Envelope+Staple weight]]</f>
        <v>5.6200000000000028E-2</v>
      </c>
      <c r="R11" s="38">
        <f>Table1[[#This Row],[Insect_Weight]]-Table1[[#This Row],[Lipid_Free_Weight]]</f>
        <v>0.17580000000000001</v>
      </c>
    </row>
    <row r="12" spans="1:19" x14ac:dyDescent="0.25">
      <c r="A12" t="s">
        <v>32</v>
      </c>
      <c r="B12" s="32" t="s">
        <v>102</v>
      </c>
      <c r="C12" s="33" t="s">
        <v>99</v>
      </c>
      <c r="D12" s="33" t="s">
        <v>18</v>
      </c>
      <c r="E12" s="33" t="str">
        <f>Table1[[#This Row],[Family]]&amp;Table1[[#This Row],[Size]]</f>
        <v>Notodontidae</v>
      </c>
      <c r="F12" s="33"/>
      <c r="G12" s="33">
        <v>1</v>
      </c>
      <c r="H12" s="33">
        <v>0.437</v>
      </c>
      <c r="I12" s="33">
        <v>0.56200000000000006</v>
      </c>
      <c r="J12" s="8">
        <f>Table1[[#This Row],[Bugs+Envelope Weight]]-Table1[[#This Row],[Envelope+Staple weight]]</f>
        <v>0.12500000000000006</v>
      </c>
      <c r="K12" s="25">
        <f>Table1[[#This Row],[Insect_Weight]]/Table1[[#This Row],[Quantity]]</f>
        <v>0.12500000000000006</v>
      </c>
      <c r="L12" s="33">
        <v>0.48399999999999999</v>
      </c>
      <c r="M12" s="33" t="b">
        <f t="shared" si="0"/>
        <v>1</v>
      </c>
      <c r="N12" s="33">
        <v>0.48299999999999998</v>
      </c>
      <c r="O12" s="33">
        <f>Table1[[#This Row],[Dry_Weight_Final]]-Table1[[#This Row],[Envelope+Staple weight]]</f>
        <v>4.5999999999999985E-2</v>
      </c>
      <c r="P12" s="34">
        <v>0.48099999999999998</v>
      </c>
      <c r="Q12" s="41">
        <f>Table1[[#This Row],[Lipid Free Weight with envelope]]-Table1[[#This Row],[Envelope+Staple weight]]</f>
        <v>4.3999999999999984E-2</v>
      </c>
      <c r="R12" s="41">
        <f>Table1[[#This Row],[Insect_Weight]]-Table1[[#This Row],[Lipid_Free_Weight]]</f>
        <v>8.1000000000000072E-2</v>
      </c>
    </row>
    <row r="13" spans="1:19" x14ac:dyDescent="0.25">
      <c r="A13" t="s">
        <v>46</v>
      </c>
      <c r="B13" s="7">
        <v>45863</v>
      </c>
      <c r="C13" s="8" t="s">
        <v>105</v>
      </c>
      <c r="D13" s="8" t="s">
        <v>28</v>
      </c>
      <c r="E13" s="8" t="str">
        <f>Table1[[#This Row],[Family]]&amp;Table1[[#This Row],[Size]]</f>
        <v>Elateridae</v>
      </c>
      <c r="F13" s="8"/>
      <c r="G13" s="8">
        <v>3</v>
      </c>
      <c r="H13" s="8">
        <v>0.438</v>
      </c>
      <c r="I13" s="8">
        <v>0.59899999999999998</v>
      </c>
      <c r="J13" s="8">
        <f>Table1[[#This Row],[Bugs+Envelope Weight]]-Table1[[#This Row],[Envelope+Staple weight]]</f>
        <v>0.16099999999999998</v>
      </c>
      <c r="K13" s="25">
        <f>Table1[[#This Row],[Insect_Weight]]/Table1[[#This Row],[Quantity]]</f>
        <v>5.3666666666666661E-2</v>
      </c>
      <c r="L13" s="8">
        <v>0.48599999999999999</v>
      </c>
      <c r="M13" s="8" t="b">
        <f t="shared" si="0"/>
        <v>1</v>
      </c>
      <c r="N13" s="8">
        <v>0.48699999999999999</v>
      </c>
      <c r="O13" s="8">
        <f>Table1[[#This Row],[Dry_Weight_Final]]-Table1[[#This Row],[Envelope+Staple weight]]</f>
        <v>4.8999999999999988E-2</v>
      </c>
      <c r="P13" s="10">
        <v>0.48139999999999999</v>
      </c>
      <c r="Q13" s="38">
        <f>Table1[[#This Row],[Lipid Free Weight with envelope]]-Table1[[#This Row],[Envelope+Staple weight]]</f>
        <v>4.3399999999999994E-2</v>
      </c>
      <c r="R13" s="38">
        <f>Table1[[#This Row],[Insect_Weight]]-Table1[[#This Row],[Lipid_Free_Weight]]</f>
        <v>0.11759999999999998</v>
      </c>
    </row>
    <row r="14" spans="1:19" x14ac:dyDescent="0.25">
      <c r="A14" t="s">
        <v>33</v>
      </c>
      <c r="B14" s="7">
        <v>45830</v>
      </c>
      <c r="C14" s="8" t="s">
        <v>96</v>
      </c>
      <c r="D14" s="8" t="s">
        <v>109</v>
      </c>
      <c r="E14" s="8" t="str">
        <f>Table1[[#This Row],[Family]]&amp;Table1[[#This Row],[Size]]</f>
        <v>Erebidae&lt;1</v>
      </c>
      <c r="F14" s="8" t="s">
        <v>98</v>
      </c>
      <c r="G14" s="8">
        <v>18</v>
      </c>
      <c r="H14" s="8">
        <v>0.42799999999999999</v>
      </c>
      <c r="I14" s="8">
        <v>0.59799999999999998</v>
      </c>
      <c r="J14" s="8">
        <f>Table1[[#This Row],[Bugs+Envelope Weight]]-Table1[[#This Row],[Envelope+Staple weight]]</f>
        <v>0.16999999999999998</v>
      </c>
      <c r="K14" s="25">
        <f>Table1[[#This Row],[Insect_Weight]]/Table1[[#This Row],[Quantity]]</f>
        <v>9.4444444444444428E-3</v>
      </c>
      <c r="L14" s="8">
        <v>0.48799999999999999</v>
      </c>
      <c r="M14" s="8" t="b">
        <f t="shared" si="0"/>
        <v>1</v>
      </c>
      <c r="N14" s="8">
        <v>0.48799999999999999</v>
      </c>
      <c r="O14" s="8">
        <f>Table1[[#This Row],[Dry_Weight_Final]]-Table1[[#This Row],[Envelope+Staple weight]]</f>
        <v>0.06</v>
      </c>
      <c r="P14" s="10">
        <v>0.48149999999999998</v>
      </c>
      <c r="Q14" s="38">
        <f>Table1[[#This Row],[Lipid Free Weight with envelope]]-Table1[[#This Row],[Envelope+Staple weight]]</f>
        <v>5.3499999999999992E-2</v>
      </c>
      <c r="R14" s="38">
        <f>Table1[[#This Row],[Insect_Weight]]-Table1[[#This Row],[Lipid_Free_Weight]]</f>
        <v>0.11649999999999999</v>
      </c>
    </row>
    <row r="15" spans="1:19" x14ac:dyDescent="0.25">
      <c r="A15" t="s">
        <v>46</v>
      </c>
      <c r="B15" s="7">
        <v>45840</v>
      </c>
      <c r="C15" s="8" t="s">
        <v>96</v>
      </c>
      <c r="D15" s="8" t="s">
        <v>110</v>
      </c>
      <c r="E15" s="8" t="str">
        <f>Table1[[#This Row],[Family]]&amp;Table1[[#This Row],[Size]]</f>
        <v>Pyralidae&gt;1</v>
      </c>
      <c r="F15" s="8" t="s">
        <v>107</v>
      </c>
      <c r="G15" s="8">
        <v>7</v>
      </c>
      <c r="H15" s="8">
        <v>0.45700000000000002</v>
      </c>
      <c r="I15" s="8">
        <v>0.58399999999999996</v>
      </c>
      <c r="J15" s="8">
        <f>Table1[[#This Row],[Bugs+Envelope Weight]]-Table1[[#This Row],[Envelope+Staple weight]]</f>
        <v>0.12699999999999995</v>
      </c>
      <c r="K15" s="25">
        <f>Table1[[#This Row],[Insect_Weight]]/Table1[[#This Row],[Quantity]]</f>
        <v>1.8142857142857134E-2</v>
      </c>
      <c r="L15" s="8">
        <v>0.502</v>
      </c>
      <c r="M15" s="8" t="b">
        <f t="shared" si="0"/>
        <v>1</v>
      </c>
      <c r="N15" s="8">
        <v>0.498</v>
      </c>
      <c r="O15" s="8">
        <f>Table1[[#This Row],[Dry_Weight_Final]]-Table1[[#This Row],[Envelope+Staple weight]]</f>
        <v>4.0999999999999981E-2</v>
      </c>
      <c r="P15" s="10">
        <v>0.4899</v>
      </c>
      <c r="Q15" s="38">
        <f>Table1[[#This Row],[Lipid Free Weight with envelope]]-Table1[[#This Row],[Envelope+Staple weight]]</f>
        <v>3.2899999999999985E-2</v>
      </c>
      <c r="R15" s="38">
        <f>Table1[[#This Row],[Insect_Weight]]-Table1[[#This Row],[Lipid_Free_Weight]]</f>
        <v>9.4099999999999961E-2</v>
      </c>
    </row>
    <row r="16" spans="1:19" x14ac:dyDescent="0.25">
      <c r="A16" t="s">
        <v>32</v>
      </c>
      <c r="B16" s="7">
        <v>45796</v>
      </c>
      <c r="C16" s="14" t="s">
        <v>99</v>
      </c>
      <c r="D16" s="8" t="s">
        <v>18</v>
      </c>
      <c r="E16" s="8" t="str">
        <f>Table1[[#This Row],[Family]]&amp;Table1[[#This Row],[Size]]</f>
        <v>Notodontidae</v>
      </c>
      <c r="F16" s="8"/>
      <c r="G16" s="8">
        <v>2</v>
      </c>
      <c r="H16" s="8">
        <v>0.42599999999999999</v>
      </c>
      <c r="I16" s="8">
        <v>0.71699999999999997</v>
      </c>
      <c r="J16" s="8">
        <f>Table1[[#This Row],[Bugs+Envelope Weight]]-Table1[[#This Row],[Envelope+Staple weight]]</f>
        <v>0.29099999999999998</v>
      </c>
      <c r="K16" s="25">
        <f>Table1[[#This Row],[Insect_Weight]]/Table1[[#This Row],[Quantity]]</f>
        <v>0.14549999999999999</v>
      </c>
      <c r="L16" s="8">
        <v>0.53100000000000003</v>
      </c>
      <c r="M16" s="8" t="b">
        <f t="shared" si="0"/>
        <v>1</v>
      </c>
      <c r="N16" s="8">
        <v>0.53100000000000003</v>
      </c>
      <c r="O16" s="8">
        <f>Table1[[#This Row],[Dry_Weight_Final]]-Table1[[#This Row],[Envelope+Staple weight]]</f>
        <v>0.10500000000000004</v>
      </c>
      <c r="P16" s="10">
        <v>0.49080000000000001</v>
      </c>
      <c r="Q16" s="38">
        <f>Table1[[#This Row],[Lipid Free Weight with envelope]]-Table1[[#This Row],[Envelope+Staple weight]]</f>
        <v>6.4800000000000024E-2</v>
      </c>
      <c r="R16" s="38">
        <f>Table1[[#This Row],[Insect_Weight]]-Table1[[#This Row],[Lipid_Free_Weight]]</f>
        <v>0.22619999999999996</v>
      </c>
    </row>
    <row r="17" spans="1:19" x14ac:dyDescent="0.25">
      <c r="A17" t="s">
        <v>46</v>
      </c>
      <c r="B17" s="7">
        <v>45852</v>
      </c>
      <c r="C17" s="14" t="s">
        <v>96</v>
      </c>
      <c r="D17" s="14" t="s">
        <v>11</v>
      </c>
      <c r="E17" s="39" t="str">
        <f>Table1[[#This Row],[Family]]&amp;Table1[[#This Row],[Size]]</f>
        <v>Microlep</v>
      </c>
      <c r="F17" s="8"/>
      <c r="G17" s="8">
        <f>61+74+59</f>
        <v>194</v>
      </c>
      <c r="H17" s="8">
        <v>0.44600000000000001</v>
      </c>
      <c r="I17" s="8">
        <f>H17+0.049+0.029+0.033</f>
        <v>0.55700000000000005</v>
      </c>
      <c r="J17" s="8">
        <f>Table1[[#This Row],[Bugs+Envelope Weight]]-Table1[[#This Row],[Envelope+Staple weight]]</f>
        <v>0.11100000000000004</v>
      </c>
      <c r="K17" s="25">
        <f>Table1[[#This Row],[Insect_Weight]]/Table1[[#This Row],[Quantity]]</f>
        <v>5.7216494845360852E-4</v>
      </c>
      <c r="L17" s="8">
        <v>0.501</v>
      </c>
      <c r="M17" s="8" t="b">
        <f t="shared" si="0"/>
        <v>1</v>
      </c>
      <c r="N17" s="8">
        <v>0.502</v>
      </c>
      <c r="O17" s="8">
        <f>Table1[[#This Row],[Dry_Weight_Final]]-Table1[[#This Row],[Envelope+Staple weight]]</f>
        <v>5.5999999999999994E-2</v>
      </c>
      <c r="P17" s="10">
        <v>0.49130000000000001</v>
      </c>
      <c r="Q17" s="38">
        <f>Table1[[#This Row],[Lipid Free Weight with envelope]]-Table1[[#This Row],[Envelope+Staple weight]]</f>
        <v>4.5300000000000007E-2</v>
      </c>
      <c r="R17" s="38">
        <f>Table1[[#This Row],[Insect_Weight]]-Table1[[#This Row],[Lipid_Free_Weight]]</f>
        <v>6.5700000000000036E-2</v>
      </c>
      <c r="S17" t="s">
        <v>111</v>
      </c>
    </row>
    <row r="18" spans="1:19" x14ac:dyDescent="0.25">
      <c r="A18" t="s">
        <v>46</v>
      </c>
      <c r="B18" s="7">
        <v>45863</v>
      </c>
      <c r="C18" s="8" t="s">
        <v>105</v>
      </c>
      <c r="D18" s="8" t="s">
        <v>106</v>
      </c>
      <c r="E18" s="8" t="str">
        <f>Table1[[#This Row],[Family]]&amp;Table1[[#This Row],[Size]]</f>
        <v>Carabidae&lt;1</v>
      </c>
      <c r="F18" s="8" t="s">
        <v>98</v>
      </c>
      <c r="G18" s="8">
        <v>19</v>
      </c>
      <c r="H18" s="8">
        <v>0.45900000000000002</v>
      </c>
      <c r="I18" s="8">
        <v>0.58399999999999996</v>
      </c>
      <c r="J18" s="8">
        <f>Table1[[#This Row],[Bugs+Envelope Weight]]-Table1[[#This Row],[Envelope+Staple weight]]</f>
        <v>0.12499999999999994</v>
      </c>
      <c r="K18" s="25">
        <f>Table1[[#This Row],[Insect_Weight]]/Table1[[#This Row],[Quantity]]</f>
        <v>6.5789473684210497E-3</v>
      </c>
      <c r="L18" s="8">
        <v>0.51</v>
      </c>
      <c r="M18" s="8" t="b">
        <f t="shared" si="0"/>
        <v>1</v>
      </c>
      <c r="N18" s="8">
        <v>0.50800000000000001</v>
      </c>
      <c r="O18" s="8">
        <f>Table1[[#This Row],[Dry_Weight_Final]]-Table1[[#This Row],[Envelope+Staple weight]]</f>
        <v>4.8999999999999988E-2</v>
      </c>
      <c r="P18" s="10">
        <v>0.49790000000000001</v>
      </c>
      <c r="Q18" s="38">
        <f>Table1[[#This Row],[Lipid Free Weight with envelope]]-Table1[[#This Row],[Envelope+Staple weight]]</f>
        <v>3.889999999999999E-2</v>
      </c>
      <c r="R18" s="38">
        <f>Table1[[#This Row],[Insect_Weight]]-Table1[[#This Row],[Lipid_Free_Weight]]</f>
        <v>8.6099999999999954E-2</v>
      </c>
    </row>
    <row r="19" spans="1:19" x14ac:dyDescent="0.25">
      <c r="A19" t="s">
        <v>46</v>
      </c>
      <c r="B19" s="7">
        <v>45852</v>
      </c>
      <c r="C19" s="8" t="s">
        <v>96</v>
      </c>
      <c r="D19" s="8" t="s">
        <v>16</v>
      </c>
      <c r="E19" s="8" t="str">
        <f>Table1[[#This Row],[Family]]&amp;Table1[[#This Row],[Size]]</f>
        <v>Gelechiidae</v>
      </c>
      <c r="F19" s="8"/>
      <c r="G19" s="8">
        <f>32+27</f>
        <v>59</v>
      </c>
      <c r="H19" s="8">
        <v>0.45400000000000001</v>
      </c>
      <c r="I19" s="8">
        <f>H19+0.074+0.087</f>
        <v>0.61499999999999999</v>
      </c>
      <c r="J19" s="8">
        <f>Table1[[#This Row],[Bugs+Envelope Weight]]-Table1[[#This Row],[Envelope+Staple weight]]</f>
        <v>0.16099999999999998</v>
      </c>
      <c r="K19" s="25">
        <f>Table1[[#This Row],[Insect_Weight]]/Table1[[#This Row],[Quantity]]</f>
        <v>2.7288135593220336E-3</v>
      </c>
      <c r="L19" s="8">
        <v>0.51600000000000001</v>
      </c>
      <c r="M19" s="8" t="b">
        <f t="shared" si="0"/>
        <v>1</v>
      </c>
      <c r="N19" s="8">
        <v>0.51500000000000001</v>
      </c>
      <c r="O19" s="8">
        <f>Table1[[#This Row],[Dry_Weight_Final]]-Table1[[#This Row],[Envelope+Staple weight]]</f>
        <v>6.0999999999999999E-2</v>
      </c>
      <c r="P19" s="10">
        <v>0.50449999999999995</v>
      </c>
      <c r="Q19" s="38">
        <f>Table1[[#This Row],[Lipid Free Weight with envelope]]-Table1[[#This Row],[Envelope+Staple weight]]</f>
        <v>5.0499999999999934E-2</v>
      </c>
      <c r="R19" s="38">
        <f>Table1[[#This Row],[Insect_Weight]]-Table1[[#This Row],[Lipid_Free_Weight]]</f>
        <v>0.11050000000000004</v>
      </c>
      <c r="S19" t="s">
        <v>111</v>
      </c>
    </row>
    <row r="20" spans="1:19" x14ac:dyDescent="0.25">
      <c r="A20" t="s">
        <v>33</v>
      </c>
      <c r="B20" s="32" t="s">
        <v>102</v>
      </c>
      <c r="C20" s="33" t="s">
        <v>99</v>
      </c>
      <c r="D20" s="8" t="s">
        <v>16</v>
      </c>
      <c r="E20" s="8" t="str">
        <f>Table1[[#This Row],[Family]]&amp;Table1[[#This Row],[Size]]</f>
        <v>Gelechiidae</v>
      </c>
      <c r="F20" s="33"/>
      <c r="G20" s="33">
        <f>23+36</f>
        <v>59</v>
      </c>
      <c r="H20" s="33">
        <v>0.436</v>
      </c>
      <c r="I20" s="33">
        <f>H20+0.086+0.096</f>
        <v>0.61799999999999999</v>
      </c>
      <c r="J20" s="8">
        <f>Table1[[#This Row],[Bugs+Envelope Weight]]-Table1[[#This Row],[Envelope+Staple weight]]</f>
        <v>0.182</v>
      </c>
      <c r="K20" s="25">
        <f>Table1[[#This Row],[Insect_Weight]]/Table1[[#This Row],[Quantity]]</f>
        <v>3.0847457627118644E-3</v>
      </c>
      <c r="L20" s="33">
        <v>0.51600000000000001</v>
      </c>
      <c r="M20" s="33" t="b">
        <f t="shared" si="0"/>
        <v>1</v>
      </c>
      <c r="N20" s="33">
        <v>0.51400000000000001</v>
      </c>
      <c r="O20" s="33">
        <f>Table1[[#This Row],[Dry_Weight_Final]]-Table1[[#This Row],[Envelope+Staple weight]]</f>
        <v>7.8000000000000014E-2</v>
      </c>
      <c r="P20" s="34">
        <v>0.50519999999999998</v>
      </c>
      <c r="Q20" s="41">
        <f>Table1[[#This Row],[Lipid Free Weight with envelope]]-Table1[[#This Row],[Envelope+Staple weight]]</f>
        <v>6.9199999999999984E-2</v>
      </c>
      <c r="R20" s="41">
        <f>Table1[[#This Row],[Insect_Weight]]-Table1[[#This Row],[Lipid_Free_Weight]]</f>
        <v>0.11280000000000001</v>
      </c>
    </row>
    <row r="21" spans="1:19" x14ac:dyDescent="0.25">
      <c r="A21" t="s">
        <v>33</v>
      </c>
      <c r="B21" s="7">
        <v>45830</v>
      </c>
      <c r="C21" s="8" t="s">
        <v>112</v>
      </c>
      <c r="D21" s="8" t="s">
        <v>25</v>
      </c>
      <c r="E21" s="8" t="str">
        <f>Table1[[#This Row],[Family]]&amp;Table1[[#This Row],[Size]]</f>
        <v>Caenidae</v>
      </c>
      <c r="F21" s="8"/>
      <c r="G21" s="8">
        <v>210</v>
      </c>
      <c r="H21" s="8">
        <v>0.432</v>
      </c>
      <c r="I21" s="8">
        <v>0.56200000000000006</v>
      </c>
      <c r="J21" s="8">
        <f>Table1[[#This Row],[Bugs+Envelope Weight]]-Table1[[#This Row],[Envelope+Staple weight]]</f>
        <v>0.13000000000000006</v>
      </c>
      <c r="K21" s="25">
        <f>Table1[[#This Row],[Insect_Weight]]/Table1[[#This Row],[Quantity]]</f>
        <v>6.1904761904761933E-4</v>
      </c>
      <c r="L21" s="8">
        <v>0.52400000000000002</v>
      </c>
      <c r="M21" s="8" t="b">
        <f t="shared" si="0"/>
        <v>1</v>
      </c>
      <c r="N21" s="8">
        <v>0.52400000000000002</v>
      </c>
      <c r="O21" s="8">
        <f>Table1[[#This Row],[Dry_Weight_Final]]-Table1[[#This Row],[Envelope+Staple weight]]</f>
        <v>9.2000000000000026E-2</v>
      </c>
      <c r="P21" s="10">
        <v>0.51880000000000004</v>
      </c>
      <c r="Q21" s="38">
        <f>Table1[[#This Row],[Lipid Free Weight with envelope]]-Table1[[#This Row],[Envelope+Staple weight]]</f>
        <v>8.6800000000000044E-2</v>
      </c>
      <c r="R21" s="38">
        <f>Table1[[#This Row],[Insect_Weight]]-Table1[[#This Row],[Lipid_Free_Weight]]</f>
        <v>4.3200000000000016E-2</v>
      </c>
    </row>
    <row r="22" spans="1:19" x14ac:dyDescent="0.25">
      <c r="A22" t="s">
        <v>32</v>
      </c>
      <c r="B22" s="7">
        <v>45796</v>
      </c>
      <c r="C22" s="8" t="s">
        <v>99</v>
      </c>
      <c r="D22" s="8" t="s">
        <v>17</v>
      </c>
      <c r="E22" s="8" t="str">
        <f>Table1[[#This Row],[Family]]&amp;Table1[[#This Row],[Size]]</f>
        <v>Lasiocampidae</v>
      </c>
      <c r="F22" s="8"/>
      <c r="G22" s="8">
        <v>2</v>
      </c>
      <c r="H22" s="8">
        <v>0.43099999999999999</v>
      </c>
      <c r="I22" s="8">
        <v>0.82499999999999996</v>
      </c>
      <c r="J22" s="8">
        <f>Table1[[#This Row],[Bugs+Envelope Weight]]-Table1[[#This Row],[Envelope+Staple weight]]</f>
        <v>0.39399999999999996</v>
      </c>
      <c r="K22" s="25">
        <f>Table1[[#This Row],[Insect_Weight]]/Table1[[#This Row],[Quantity]]</f>
        <v>0.19699999999999998</v>
      </c>
      <c r="L22" s="8">
        <v>0.58799999999999997</v>
      </c>
      <c r="M22" s="8" t="b">
        <f t="shared" si="0"/>
        <v>1</v>
      </c>
      <c r="N22" s="8">
        <v>0.58799999999999997</v>
      </c>
      <c r="O22" s="8">
        <f>Table1[[#This Row],[Dry_Weight_Final]]-Table1[[#This Row],[Envelope+Staple weight]]</f>
        <v>0.15699999999999997</v>
      </c>
      <c r="P22" s="10">
        <v>0.52390000000000003</v>
      </c>
      <c r="Q22" s="38">
        <f>Table1[[#This Row],[Lipid Free Weight with envelope]]-Table1[[#This Row],[Envelope+Staple weight]]</f>
        <v>9.2900000000000038E-2</v>
      </c>
      <c r="R22" s="38">
        <f>Table1[[#This Row],[Insect_Weight]]-Table1[[#This Row],[Lipid_Free_Weight]]</f>
        <v>0.30109999999999992</v>
      </c>
      <c r="S22" t="s">
        <v>113</v>
      </c>
    </row>
    <row r="23" spans="1:19" x14ac:dyDescent="0.25">
      <c r="A23" t="s">
        <v>33</v>
      </c>
      <c r="B23" s="7">
        <v>45830</v>
      </c>
      <c r="C23" s="8" t="s">
        <v>96</v>
      </c>
      <c r="D23" s="8" t="s">
        <v>100</v>
      </c>
      <c r="E23" s="8" t="str">
        <f>Table1[[#This Row],[Family]]&amp;Table1[[#This Row],[Size]]</f>
        <v>Crambidae&lt;1</v>
      </c>
      <c r="F23" s="8" t="s">
        <v>98</v>
      </c>
      <c r="G23" s="8">
        <v>41</v>
      </c>
      <c r="H23" s="8">
        <v>0.42799999999999999</v>
      </c>
      <c r="I23" s="8">
        <v>0.76500000000000001</v>
      </c>
      <c r="J23" s="8">
        <f>Table1[[#This Row],[Bugs+Envelope Weight]]-Table1[[#This Row],[Envelope+Staple weight]]</f>
        <v>0.33700000000000002</v>
      </c>
      <c r="K23" s="25">
        <f>Table1[[#This Row],[Insect_Weight]]/Table1[[#This Row],[Quantity]]</f>
        <v>8.2195121951219516E-3</v>
      </c>
      <c r="L23" s="8">
        <v>0.56999999999999995</v>
      </c>
      <c r="M23" s="8" t="b">
        <f t="shared" si="0"/>
        <v>1</v>
      </c>
      <c r="N23" s="8">
        <v>0.56799999999999995</v>
      </c>
      <c r="O23" s="8">
        <f>Table1[[#This Row],[Dry_Weight_Final]]-Table1[[#This Row],[Envelope+Staple weight]]</f>
        <v>0.13999999999999996</v>
      </c>
      <c r="P23" s="10">
        <v>0.52869999999999995</v>
      </c>
      <c r="Q23" s="38">
        <f>Table1[[#This Row],[Lipid Free Weight with envelope]]-Table1[[#This Row],[Envelope+Staple weight]]</f>
        <v>0.10069999999999996</v>
      </c>
      <c r="R23" s="38">
        <f>Table1[[#This Row],[Insect_Weight]]-Table1[[#This Row],[Lipid_Free_Weight]]</f>
        <v>0.23630000000000007</v>
      </c>
    </row>
    <row r="24" spans="1:19" x14ac:dyDescent="0.25">
      <c r="A24" t="s">
        <v>33</v>
      </c>
      <c r="B24" s="7">
        <v>45830</v>
      </c>
      <c r="C24" s="8" t="s">
        <v>96</v>
      </c>
      <c r="D24" s="8" t="s">
        <v>110</v>
      </c>
      <c r="E24" s="8" t="str">
        <f>Table1[[#This Row],[Family]]&amp;Table1[[#This Row],[Size]]</f>
        <v>Pyralidae&lt;1</v>
      </c>
      <c r="F24" s="8" t="s">
        <v>98</v>
      </c>
      <c r="G24" s="8">
        <v>28</v>
      </c>
      <c r="H24" s="8">
        <v>0.42799999999999999</v>
      </c>
      <c r="I24" s="8">
        <v>0.78100000000000003</v>
      </c>
      <c r="J24" s="8">
        <f>Table1[[#This Row],[Bugs+Envelope Weight]]-Table1[[#This Row],[Envelope+Staple weight]]</f>
        <v>0.35300000000000004</v>
      </c>
      <c r="K24" s="25">
        <f>Table1[[#This Row],[Insect_Weight]]/Table1[[#This Row],[Quantity]]</f>
        <v>1.2607142857142858E-2</v>
      </c>
      <c r="L24" s="8">
        <v>0.55000000000000004</v>
      </c>
      <c r="M24" s="8" t="b">
        <f t="shared" si="0"/>
        <v>1</v>
      </c>
      <c r="N24" s="8">
        <v>0.55000000000000004</v>
      </c>
      <c r="O24" s="8">
        <f>Table1[[#This Row],[Dry_Weight_Final]]-Table1[[#This Row],[Envelope+Staple weight]]</f>
        <v>0.12200000000000005</v>
      </c>
      <c r="P24" s="10">
        <v>0.53410000000000002</v>
      </c>
      <c r="Q24" s="38">
        <f>Table1[[#This Row],[Lipid Free Weight with envelope]]-Table1[[#This Row],[Envelope+Staple weight]]</f>
        <v>0.10610000000000003</v>
      </c>
      <c r="R24" s="38">
        <f>Table1[[#This Row],[Insect_Weight]]-Table1[[#This Row],[Lipid_Free_Weight]]</f>
        <v>0.24690000000000001</v>
      </c>
    </row>
    <row r="25" spans="1:19" x14ac:dyDescent="0.25">
      <c r="A25" t="s">
        <v>46</v>
      </c>
      <c r="B25" s="7">
        <v>45852</v>
      </c>
      <c r="C25" s="14" t="s">
        <v>108</v>
      </c>
      <c r="D25" s="14" t="s">
        <v>20</v>
      </c>
      <c r="E25" s="39" t="str">
        <f>Table1[[#This Row],[Family]]&amp;Table1[[#This Row],[Size]]</f>
        <v>Hydroptilidae</v>
      </c>
      <c r="F25" s="8"/>
      <c r="G25" s="8">
        <v>283</v>
      </c>
      <c r="H25" s="8">
        <v>0.45400000000000001</v>
      </c>
      <c r="I25" s="8">
        <v>0.64600000000000002</v>
      </c>
      <c r="J25" s="8">
        <f>Table1[[#This Row],[Bugs+Envelope Weight]]-Table1[[#This Row],[Envelope+Staple weight]]</f>
        <v>0.192</v>
      </c>
      <c r="K25" s="25">
        <f>Table1[[#This Row],[Insect_Weight]]/Table1[[#This Row],[Quantity]]</f>
        <v>6.784452296819788E-4</v>
      </c>
      <c r="L25" s="8">
        <v>0.57099999999999995</v>
      </c>
      <c r="M25" s="8" t="b">
        <f t="shared" si="0"/>
        <v>1</v>
      </c>
      <c r="N25" s="8">
        <v>0.56999999999999995</v>
      </c>
      <c r="O25" s="8">
        <f>Table1[[#This Row],[Dry_Weight_Final]]-Table1[[#This Row],[Envelope+Staple weight]]</f>
        <v>0.11599999999999994</v>
      </c>
      <c r="P25" s="10">
        <v>0.54310000000000003</v>
      </c>
      <c r="Q25" s="38">
        <f>Table1[[#This Row],[Lipid Free Weight with envelope]]-Table1[[#This Row],[Envelope+Staple weight]]</f>
        <v>8.9100000000000013E-2</v>
      </c>
      <c r="R25" s="38">
        <f>Table1[[#This Row],[Insect_Weight]]-Table1[[#This Row],[Lipid_Free_Weight]]</f>
        <v>0.10289999999999999</v>
      </c>
    </row>
    <row r="26" spans="1:19" x14ac:dyDescent="0.25">
      <c r="A26" t="s">
        <v>33</v>
      </c>
      <c r="B26" s="7">
        <v>45830</v>
      </c>
      <c r="C26" s="8" t="s">
        <v>96</v>
      </c>
      <c r="D26" s="8" t="s">
        <v>97</v>
      </c>
      <c r="E26" s="8" t="str">
        <f>Table1[[#This Row],[Family]]&amp;Table1[[#This Row],[Size]]</f>
        <v>Geometridae&lt;1</v>
      </c>
      <c r="F26" s="8" t="s">
        <v>98</v>
      </c>
      <c r="G26" s="8">
        <v>33</v>
      </c>
      <c r="H26" s="8">
        <v>0.435</v>
      </c>
      <c r="I26" s="8">
        <v>0.84299999999999997</v>
      </c>
      <c r="J26" s="8">
        <f>Table1[[#This Row],[Bugs+Envelope Weight]]-Table1[[#This Row],[Envelope+Staple weight]]</f>
        <v>0.40799999999999997</v>
      </c>
      <c r="K26" s="25">
        <f>Table1[[#This Row],[Insect_Weight]]/Table1[[#This Row],[Quantity]]</f>
        <v>1.2363636363636363E-2</v>
      </c>
      <c r="L26" s="8">
        <v>0.57599999999999996</v>
      </c>
      <c r="M26" s="8" t="b">
        <f t="shared" si="0"/>
        <v>1</v>
      </c>
      <c r="N26" s="8">
        <v>0.57599999999999996</v>
      </c>
      <c r="O26" s="8">
        <f>Table1[[#This Row],[Dry_Weight_Final]]-Table1[[#This Row],[Envelope+Staple weight]]</f>
        <v>0.14099999999999996</v>
      </c>
      <c r="P26" s="10">
        <v>0.55489999999999995</v>
      </c>
      <c r="Q26" s="38">
        <f>Table1[[#This Row],[Lipid Free Weight with envelope]]-Table1[[#This Row],[Envelope+Staple weight]]</f>
        <v>0.11989999999999995</v>
      </c>
      <c r="R26" s="38">
        <f>Table1[[#This Row],[Insect_Weight]]-Table1[[#This Row],[Lipid_Free_Weight]]</f>
        <v>0.28810000000000002</v>
      </c>
    </row>
    <row r="27" spans="1:19" x14ac:dyDescent="0.25">
      <c r="A27" t="s">
        <v>33</v>
      </c>
      <c r="B27" s="7">
        <v>45830</v>
      </c>
      <c r="C27" s="8" t="s">
        <v>108</v>
      </c>
      <c r="D27" s="8" t="s">
        <v>22</v>
      </c>
      <c r="E27" s="8" t="str">
        <f>Table1[[#This Row],[Family]]&amp;Table1[[#This Row],[Size]]</f>
        <v>Limnephilidae</v>
      </c>
      <c r="F27" s="8"/>
      <c r="G27" s="8">
        <v>39</v>
      </c>
      <c r="H27" s="8">
        <v>0.42199999999999999</v>
      </c>
      <c r="I27" s="8">
        <v>0.98599999999999999</v>
      </c>
      <c r="J27" s="8">
        <f>Table1[[#This Row],[Bugs+Envelope Weight]]-Table1[[#This Row],[Envelope+Staple weight]]</f>
        <v>0.56400000000000006</v>
      </c>
      <c r="K27" s="25">
        <f>Table1[[#This Row],[Insect_Weight]]/Table1[[#This Row],[Quantity]]</f>
        <v>1.4461538461538463E-2</v>
      </c>
      <c r="L27" s="8">
        <v>0.63</v>
      </c>
      <c r="M27" s="8" t="b">
        <f t="shared" si="0"/>
        <v>1</v>
      </c>
      <c r="N27" s="8">
        <v>0.63100000000000001</v>
      </c>
      <c r="O27" s="8">
        <f>Table1[[#This Row],[Dry_Weight_Final]]-Table1[[#This Row],[Envelope+Staple weight]]</f>
        <v>0.20900000000000002</v>
      </c>
      <c r="P27" s="10">
        <v>0.60440000000000005</v>
      </c>
      <c r="Q27" s="38">
        <f>Table1[[#This Row],[Lipid Free Weight with envelope]]-Table1[[#This Row],[Envelope+Staple weight]]</f>
        <v>0.18240000000000006</v>
      </c>
      <c r="R27" s="38">
        <f>Table1[[#This Row],[Insect_Weight]]-Table1[[#This Row],[Lipid_Free_Weight]]</f>
        <v>0.38159999999999999</v>
      </c>
    </row>
    <row r="28" spans="1:19" x14ac:dyDescent="0.25">
      <c r="A28" t="s">
        <v>33</v>
      </c>
      <c r="B28" s="7">
        <v>45830</v>
      </c>
      <c r="C28" s="8" t="s">
        <v>112</v>
      </c>
      <c r="D28" s="8" t="s">
        <v>27</v>
      </c>
      <c r="E28" s="8" t="str">
        <f>Table1[[#This Row],[Family]]&amp;Table1[[#This Row],[Size]]</f>
        <v>Heptageniidae</v>
      </c>
      <c r="F28" s="8"/>
      <c r="G28" s="8">
        <v>23</v>
      </c>
      <c r="H28" s="8">
        <v>0.63700000000000001</v>
      </c>
      <c r="I28" s="8">
        <v>0.73899999999999999</v>
      </c>
      <c r="J28" s="8">
        <f>Table1[[#This Row],[Bugs+Envelope Weight]]-Table1[[#This Row],[Envelope+Staple weight]]</f>
        <v>0.10199999999999998</v>
      </c>
      <c r="K28" s="25">
        <f>Table1[[#This Row],[Insect_Weight]]/Table1[[#This Row],[Quantity]]</f>
        <v>4.4347826086956511E-3</v>
      </c>
      <c r="L28" s="8">
        <v>0.65200000000000002</v>
      </c>
      <c r="M28" s="8" t="b">
        <f t="shared" si="0"/>
        <v>1</v>
      </c>
      <c r="N28" s="8">
        <v>0.64900000000000002</v>
      </c>
      <c r="O28" s="8">
        <f>Table1[[#This Row],[Dry_Weight_Final]]-Table1[[#This Row],[Envelope+Staple weight]]</f>
        <v>1.2000000000000011E-2</v>
      </c>
      <c r="P28" s="10">
        <v>0.64580000000000004</v>
      </c>
      <c r="Q28" s="38">
        <f>Table1[[#This Row],[Lipid Free Weight with envelope]]-Table1[[#This Row],[Envelope+Staple weight]]</f>
        <v>8.80000000000003E-3</v>
      </c>
      <c r="R28" s="38">
        <f>Table1[[#This Row],[Insect_Weight]]-Table1[[#This Row],[Lipid_Free_Weight]]</f>
        <v>9.319999999999995E-2</v>
      </c>
    </row>
    <row r="29" spans="1:19" x14ac:dyDescent="0.25">
      <c r="A29" t="s">
        <v>46</v>
      </c>
      <c r="B29" s="7">
        <v>45852</v>
      </c>
      <c r="C29" s="8" t="s">
        <v>96</v>
      </c>
      <c r="D29" s="8" t="s">
        <v>101</v>
      </c>
      <c r="E29" s="8" t="str">
        <f>Table1[[#This Row],[Family]]&amp;Table1[[#This Row],[Size]]</f>
        <v>Noctuidae&lt;1</v>
      </c>
      <c r="F29" s="8" t="s">
        <v>98</v>
      </c>
      <c r="G29" s="8">
        <v>9</v>
      </c>
      <c r="H29" s="8">
        <v>0.67100000000000004</v>
      </c>
      <c r="I29" s="8">
        <v>0.78500000000000003</v>
      </c>
      <c r="J29" s="8">
        <f>Table1[[#This Row],[Bugs+Envelope Weight]]-Table1[[#This Row],[Envelope+Staple weight]]</f>
        <v>0.11399999999999999</v>
      </c>
      <c r="K29" s="25">
        <f>Table1[[#This Row],[Insect_Weight]]/Table1[[#This Row],[Quantity]]</f>
        <v>1.2666666666666666E-2</v>
      </c>
      <c r="L29" s="8">
        <v>0.68700000000000006</v>
      </c>
      <c r="M29" s="8" t="b">
        <f t="shared" si="0"/>
        <v>1</v>
      </c>
      <c r="N29" s="8">
        <v>0.68700000000000006</v>
      </c>
      <c r="O29" s="8">
        <f>Table1[[#This Row],[Dry_Weight_Final]]-Table1[[#This Row],[Envelope+Staple weight]]</f>
        <v>1.6000000000000014E-2</v>
      </c>
      <c r="P29" s="10">
        <v>0.68240000000000001</v>
      </c>
      <c r="Q29" s="38">
        <f>Table1[[#This Row],[Lipid Free Weight with envelope]]-Table1[[#This Row],[Envelope+Staple weight]]</f>
        <v>1.1399999999999966E-2</v>
      </c>
      <c r="R29" s="38">
        <f>Table1[[#This Row],[Insect_Weight]]-Table1[[#This Row],[Lipid_Free_Weight]]</f>
        <v>0.10260000000000002</v>
      </c>
    </row>
    <row r="30" spans="1:19" x14ac:dyDescent="0.25">
      <c r="A30" t="s">
        <v>46</v>
      </c>
      <c r="B30" s="7">
        <v>45852</v>
      </c>
      <c r="C30" s="8" t="s">
        <v>103</v>
      </c>
      <c r="D30" s="8" t="s">
        <v>1</v>
      </c>
      <c r="E30" s="8" t="str">
        <f>Table1[[#This Row],[Family]]&amp;Table1[[#This Row],[Size]]</f>
        <v>Brachycera</v>
      </c>
      <c r="F30" s="8"/>
      <c r="G30" s="8">
        <f>27+35</f>
        <v>62</v>
      </c>
      <c r="H30" s="8">
        <v>0.66</v>
      </c>
      <c r="I30" s="8">
        <f>H30+0.081+0.072</f>
        <v>0.81299999999999994</v>
      </c>
      <c r="J30" s="8">
        <f>Table1[[#This Row],[Bugs+Envelope Weight]]-Table1[[#This Row],[Envelope+Staple weight]]</f>
        <v>0.15299999999999991</v>
      </c>
      <c r="K30" s="25">
        <f>Table1[[#This Row],[Insect_Weight]]/Table1[[#This Row],[Quantity]]</f>
        <v>2.4677419354838695E-3</v>
      </c>
      <c r="L30" s="8">
        <v>0.69499999999999995</v>
      </c>
      <c r="M30" s="8" t="b">
        <f t="shared" si="0"/>
        <v>1</v>
      </c>
      <c r="N30" s="8">
        <v>0.69499999999999995</v>
      </c>
      <c r="O30" s="8">
        <f>Table1[[#This Row],[Dry_Weight_Final]]-Table1[[#This Row],[Envelope+Staple weight]]</f>
        <v>3.499999999999992E-2</v>
      </c>
      <c r="P30" s="10">
        <v>0.68779999999999997</v>
      </c>
      <c r="Q30" s="38">
        <f>Table1[[#This Row],[Lipid Free Weight with envelope]]-Table1[[#This Row],[Envelope+Staple weight]]</f>
        <v>2.7799999999999936E-2</v>
      </c>
      <c r="R30" s="38">
        <f>Table1[[#This Row],[Insect_Weight]]-Table1[[#This Row],[Lipid_Free_Weight]]</f>
        <v>0.12519999999999998</v>
      </c>
      <c r="S30" t="s">
        <v>111</v>
      </c>
    </row>
    <row r="31" spans="1:19" x14ac:dyDescent="0.25">
      <c r="A31" t="s">
        <v>46</v>
      </c>
      <c r="B31" s="7">
        <v>45852</v>
      </c>
      <c r="C31" s="8" t="s">
        <v>96</v>
      </c>
      <c r="D31" s="8" t="s">
        <v>97</v>
      </c>
      <c r="E31" s="8" t="str">
        <f>Table1[[#This Row],[Family]]&amp;Table1[[#This Row],[Size]]</f>
        <v>Geometridae&lt;1</v>
      </c>
      <c r="F31" s="8" t="s">
        <v>98</v>
      </c>
      <c r="G31" s="8">
        <v>16</v>
      </c>
      <c r="H31" s="8">
        <v>0.67100000000000004</v>
      </c>
      <c r="I31" s="8">
        <v>0.80900000000000005</v>
      </c>
      <c r="J31" s="8">
        <f>Table1[[#This Row],[Bugs+Envelope Weight]]-Table1[[#This Row],[Envelope+Staple weight]]</f>
        <v>0.13800000000000001</v>
      </c>
      <c r="K31" s="25">
        <f>Table1[[#This Row],[Insect_Weight]]/Table1[[#This Row],[Quantity]]</f>
        <v>8.6250000000000007E-3</v>
      </c>
      <c r="L31" s="8">
        <v>0.7</v>
      </c>
      <c r="M31" s="8" t="b">
        <f t="shared" si="0"/>
        <v>1</v>
      </c>
      <c r="N31" s="8">
        <v>0.70099999999999996</v>
      </c>
      <c r="O31" s="8">
        <f>Table1[[#This Row],[Dry_Weight_Final]]-Table1[[#This Row],[Envelope+Staple weight]]</f>
        <v>2.9999999999999916E-2</v>
      </c>
      <c r="P31" s="10">
        <v>0.69130000000000003</v>
      </c>
      <c r="Q31" s="38">
        <f>Table1[[#This Row],[Lipid Free Weight with envelope]]-Table1[[#This Row],[Envelope+Staple weight]]</f>
        <v>2.0299999999999985E-2</v>
      </c>
      <c r="R31" s="38">
        <f>Table1[[#This Row],[Insect_Weight]]-Table1[[#This Row],[Lipid_Free_Weight]]</f>
        <v>0.11770000000000003</v>
      </c>
    </row>
    <row r="32" spans="1:19" x14ac:dyDescent="0.25">
      <c r="A32" t="s">
        <v>33</v>
      </c>
      <c r="B32" s="7">
        <v>45830</v>
      </c>
      <c r="C32" s="8" t="s">
        <v>112</v>
      </c>
      <c r="D32" s="8" t="s">
        <v>26</v>
      </c>
      <c r="E32" s="8" t="str">
        <f>Table1[[#This Row],[Family]]&amp;Table1[[#This Row],[Size]]</f>
        <v>Ephemeridae</v>
      </c>
      <c r="F32" s="8"/>
      <c r="G32" s="8">
        <v>10</v>
      </c>
      <c r="H32" s="8">
        <v>0.66900000000000004</v>
      </c>
      <c r="I32" s="8">
        <v>0.85599999999999998</v>
      </c>
      <c r="J32" s="8">
        <f>Table1[[#This Row],[Bugs+Envelope Weight]]-Table1[[#This Row],[Envelope+Staple weight]]</f>
        <v>0.18699999999999994</v>
      </c>
      <c r="K32" s="25">
        <f>Table1[[#This Row],[Insect_Weight]]/Table1[[#This Row],[Quantity]]</f>
        <v>1.8699999999999994E-2</v>
      </c>
      <c r="L32" s="8">
        <v>0.69899999999999995</v>
      </c>
      <c r="M32" s="8" t="b">
        <f t="shared" si="0"/>
        <v>1</v>
      </c>
      <c r="N32" s="8">
        <v>0.69799999999999995</v>
      </c>
      <c r="O32" s="8">
        <f>Table1[[#This Row],[Dry_Weight_Final]]-Table1[[#This Row],[Envelope+Staple weight]]</f>
        <v>2.8999999999999915E-2</v>
      </c>
      <c r="P32" s="10">
        <v>0.69699999999999995</v>
      </c>
      <c r="Q32" s="38">
        <f>Table1[[#This Row],[Lipid Free Weight with envelope]]-Table1[[#This Row],[Envelope+Staple weight]]</f>
        <v>2.7999999999999914E-2</v>
      </c>
      <c r="R32" s="38">
        <f>Table1[[#This Row],[Insect_Weight]]-Table1[[#This Row],[Lipid_Free_Weight]]</f>
        <v>0.15900000000000003</v>
      </c>
    </row>
    <row r="33" spans="1:19" x14ac:dyDescent="0.25">
      <c r="A33" t="s">
        <v>46</v>
      </c>
      <c r="B33" s="7">
        <v>45852</v>
      </c>
      <c r="C33" s="8" t="s">
        <v>112</v>
      </c>
      <c r="D33" s="8" t="s">
        <v>27</v>
      </c>
      <c r="E33" s="8" t="str">
        <f>Table1[[#This Row],[Family]]&amp;Table1[[#This Row],[Size]]</f>
        <v>Heptageniidae</v>
      </c>
      <c r="F33" s="8"/>
      <c r="G33" s="8">
        <f>8+4+21</f>
        <v>33</v>
      </c>
      <c r="H33" s="8">
        <v>0.68</v>
      </c>
      <c r="I33" s="8">
        <f>H33+0.019+0.017+0.094</f>
        <v>0.81</v>
      </c>
      <c r="J33" s="8">
        <f>Table1[[#This Row],[Bugs+Envelope Weight]]-Table1[[#This Row],[Envelope+Staple weight]]</f>
        <v>0.13</v>
      </c>
      <c r="K33" s="25">
        <f>Table1[[#This Row],[Insect_Weight]]/Table1[[#This Row],[Quantity]]</f>
        <v>3.9393939393939396E-3</v>
      </c>
      <c r="L33" s="8">
        <v>0.70399999999999996</v>
      </c>
      <c r="M33" s="8" t="b">
        <f t="shared" si="0"/>
        <v>1</v>
      </c>
      <c r="N33" s="8">
        <v>0.70299999999999996</v>
      </c>
      <c r="O33" s="8">
        <f>Table1[[#This Row],[Dry_Weight_Final]]-Table1[[#This Row],[Envelope+Staple weight]]</f>
        <v>2.2999999999999909E-2</v>
      </c>
      <c r="P33" s="10">
        <v>0.69879999999999998</v>
      </c>
      <c r="Q33" s="38">
        <f>Table1[[#This Row],[Lipid Free Weight with envelope]]-Table1[[#This Row],[Envelope+Staple weight]]</f>
        <v>1.8799999999999928E-2</v>
      </c>
      <c r="R33" s="38">
        <f>Table1[[#This Row],[Insect_Weight]]-Table1[[#This Row],[Lipid_Free_Weight]]</f>
        <v>0.11120000000000008</v>
      </c>
    </row>
    <row r="34" spans="1:19" x14ac:dyDescent="0.25">
      <c r="A34" t="s">
        <v>46</v>
      </c>
      <c r="B34" s="7">
        <v>45852</v>
      </c>
      <c r="C34" s="8" t="s">
        <v>96</v>
      </c>
      <c r="D34" s="8" t="s">
        <v>19</v>
      </c>
      <c r="E34" s="8" t="str">
        <f>Table1[[#This Row],[Family]]&amp;Table1[[#This Row],[Size]]</f>
        <v>Cosmopterigidae</v>
      </c>
      <c r="F34" s="8"/>
      <c r="G34" s="8">
        <f>37+13+13+3+20+6</f>
        <v>92</v>
      </c>
      <c r="H34" s="8">
        <v>0.67500000000000004</v>
      </c>
      <c r="I34" s="8">
        <f>0.146+H34</f>
        <v>0.82100000000000006</v>
      </c>
      <c r="J34" s="8">
        <f>Table1[[#This Row],[Bugs+Envelope Weight]]-Table1[[#This Row],[Envelope+Staple weight]]</f>
        <v>0.14600000000000002</v>
      </c>
      <c r="K34" s="25">
        <f>Table1[[#This Row],[Insect_Weight]]/Table1[[#This Row],[Quantity]]</f>
        <v>1.5869565217391307E-3</v>
      </c>
      <c r="L34" s="8">
        <v>0.72099999999999997</v>
      </c>
      <c r="M34" s="8" t="b">
        <f t="shared" ref="M34:M65" si="1">L34&lt;I34</f>
        <v>1</v>
      </c>
      <c r="N34" s="8">
        <v>0.72099999999999997</v>
      </c>
      <c r="O34" s="8">
        <f>Table1[[#This Row],[Dry_Weight_Final]]-Table1[[#This Row],[Envelope+Staple weight]]</f>
        <v>4.599999999999993E-2</v>
      </c>
      <c r="P34" s="10">
        <v>0.70730000000000004</v>
      </c>
      <c r="Q34" s="38">
        <f>Table1[[#This Row],[Lipid Free Weight with envelope]]-Table1[[#This Row],[Envelope+Staple weight]]</f>
        <v>3.2299999999999995E-2</v>
      </c>
      <c r="R34" s="38">
        <f>Table1[[#This Row],[Insect_Weight]]-Table1[[#This Row],[Lipid_Free_Weight]]</f>
        <v>0.11370000000000002</v>
      </c>
      <c r="S34" t="s">
        <v>111</v>
      </c>
    </row>
    <row r="35" spans="1:19" x14ac:dyDescent="0.25">
      <c r="A35" t="s">
        <v>33</v>
      </c>
      <c r="B35" s="7">
        <v>45819</v>
      </c>
      <c r="C35" s="14" t="s">
        <v>105</v>
      </c>
      <c r="D35" s="14" t="s">
        <v>28</v>
      </c>
      <c r="E35" s="39" t="str">
        <f>Table1[[#This Row],[Family]]&amp;Table1[[#This Row],[Size]]</f>
        <v>Elateridae</v>
      </c>
      <c r="F35" s="8"/>
      <c r="G35" s="8">
        <f>1+3+5+5+2+1</f>
        <v>17</v>
      </c>
      <c r="H35" s="8">
        <v>0.42599999999999999</v>
      </c>
      <c r="I35" s="8">
        <v>1.1890000000000001</v>
      </c>
      <c r="J35" s="8">
        <f>Table1[[#This Row],[Bugs+Envelope Weight]]-Table1[[#This Row],[Envelope+Staple weight]]</f>
        <v>0.76300000000000012</v>
      </c>
      <c r="K35" s="25">
        <f>Table1[[#This Row],[Insect_Weight]]/Table1[[#This Row],[Quantity]]</f>
        <v>4.4882352941176477E-2</v>
      </c>
      <c r="L35" s="8">
        <v>0.74399999999999999</v>
      </c>
      <c r="M35" s="8" t="b">
        <f t="shared" si="1"/>
        <v>1</v>
      </c>
      <c r="N35" s="8">
        <v>0.74099999999999999</v>
      </c>
      <c r="O35" s="8">
        <f>Table1[[#This Row],[Dry_Weight_Final]]-Table1[[#This Row],[Envelope+Staple weight]]</f>
        <v>0.315</v>
      </c>
      <c r="P35" s="10">
        <v>0.70760000000000001</v>
      </c>
      <c r="Q35" s="38">
        <f>Table1[[#This Row],[Lipid Free Weight with envelope]]-Table1[[#This Row],[Envelope+Staple weight]]</f>
        <v>0.28160000000000002</v>
      </c>
      <c r="R35" s="38">
        <f>Table1[[#This Row],[Insect_Weight]]-Table1[[#This Row],[Lipid_Free_Weight]]</f>
        <v>0.48140000000000011</v>
      </c>
      <c r="S35" t="s">
        <v>114</v>
      </c>
    </row>
    <row r="36" spans="1:19" x14ac:dyDescent="0.25">
      <c r="A36" t="s">
        <v>33</v>
      </c>
      <c r="B36" s="7">
        <v>45830</v>
      </c>
      <c r="C36" s="8" t="s">
        <v>103</v>
      </c>
      <c r="D36" s="8" t="s">
        <v>1</v>
      </c>
      <c r="E36" s="38" t="str">
        <f>Table1[[#This Row],[Family]]&amp;Table1[[#This Row],[Size]]</f>
        <v>Brachycera</v>
      </c>
      <c r="F36" s="9"/>
      <c r="G36" s="8">
        <v>318</v>
      </c>
      <c r="H36" s="8">
        <v>0.66700000000000004</v>
      </c>
      <c r="I36" s="8">
        <v>0.85499999999999998</v>
      </c>
      <c r="J36" s="8">
        <f>Table1[[#This Row],[Bugs+Envelope Weight]]-Table1[[#This Row],[Envelope+Staple weight]]</f>
        <v>0.18799999999999994</v>
      </c>
      <c r="K36" s="25">
        <f>Table1[[#This Row],[Insect_Weight]]/Table1[[#This Row],[Quantity]]</f>
        <v>5.9119496855345897E-4</v>
      </c>
      <c r="L36" s="8">
        <v>0.71699999999999997</v>
      </c>
      <c r="M36" s="8" t="b">
        <f t="shared" si="1"/>
        <v>1</v>
      </c>
      <c r="N36" s="8">
        <v>0.71399999999999997</v>
      </c>
      <c r="O36" s="8">
        <f>Table1[[#This Row],[Dry_Weight_Final]]-Table1[[#This Row],[Envelope+Staple weight]]</f>
        <v>4.6999999999999931E-2</v>
      </c>
      <c r="P36" s="10">
        <v>0.70860000000000001</v>
      </c>
      <c r="Q36" s="38">
        <f>Table1[[#This Row],[Lipid Free Weight with envelope]]-Table1[[#This Row],[Envelope+Staple weight]]</f>
        <v>4.159999999999997E-2</v>
      </c>
      <c r="R36" s="38">
        <f>Table1[[#This Row],[Insect_Weight]]-Table1[[#This Row],[Lipid_Free_Weight]]</f>
        <v>0.14639999999999997</v>
      </c>
    </row>
    <row r="37" spans="1:19" x14ac:dyDescent="0.25">
      <c r="A37" t="s">
        <v>46</v>
      </c>
      <c r="B37" s="7">
        <v>45852</v>
      </c>
      <c r="C37" s="14" t="s">
        <v>105</v>
      </c>
      <c r="D37" s="14" t="s">
        <v>106</v>
      </c>
      <c r="E37" s="39" t="str">
        <f>Table1[[#This Row],[Family]]&amp;Table1[[#This Row],[Size]]</f>
        <v>Carabidae&gt;1</v>
      </c>
      <c r="F37" s="8" t="s">
        <v>107</v>
      </c>
      <c r="G37" s="8">
        <v>4</v>
      </c>
      <c r="H37" s="8">
        <v>0.65600000000000003</v>
      </c>
      <c r="I37" s="8">
        <v>0.90500000000000003</v>
      </c>
      <c r="J37" s="8">
        <f>Table1[[#This Row],[Bugs+Envelope Weight]]-Table1[[#This Row],[Envelope+Staple weight]]</f>
        <v>0.249</v>
      </c>
      <c r="K37" s="25">
        <f>Table1[[#This Row],[Insect_Weight]]/Table1[[#This Row],[Quantity]]</f>
        <v>6.225E-2</v>
      </c>
      <c r="L37" s="8">
        <v>0.74399999999999999</v>
      </c>
      <c r="M37" s="8" t="b">
        <f t="shared" si="1"/>
        <v>1</v>
      </c>
      <c r="N37" s="8">
        <v>0.74299999999999999</v>
      </c>
      <c r="O37" s="8">
        <f>Table1[[#This Row],[Dry_Weight_Final]]-Table1[[#This Row],[Envelope+Staple weight]]</f>
        <v>8.6999999999999966E-2</v>
      </c>
      <c r="P37" s="10">
        <v>0.71879999999999999</v>
      </c>
      <c r="Q37" s="38">
        <f>Table1[[#This Row],[Lipid Free Weight with envelope]]-Table1[[#This Row],[Envelope+Staple weight]]</f>
        <v>6.2799999999999967E-2</v>
      </c>
      <c r="R37" s="38">
        <f>Table1[[#This Row],[Insect_Weight]]-Table1[[#This Row],[Lipid_Free_Weight]]</f>
        <v>0.18620000000000003</v>
      </c>
    </row>
    <row r="38" spans="1:19" x14ac:dyDescent="0.25">
      <c r="A38" t="s">
        <v>46</v>
      </c>
      <c r="B38" s="7">
        <v>45840</v>
      </c>
      <c r="C38" s="14" t="s">
        <v>103</v>
      </c>
      <c r="D38" s="14" t="s">
        <v>104</v>
      </c>
      <c r="E38" s="39" t="str">
        <f>Table1[[#This Row],[Family]]&amp;Table1[[#This Row],[Size]]</f>
        <v xml:space="preserve">Nematocera </v>
      </c>
      <c r="F38" s="8"/>
      <c r="G38" s="8">
        <v>309</v>
      </c>
      <c r="H38" s="8">
        <v>0.65700000000000003</v>
      </c>
      <c r="I38" s="8">
        <v>0.80800000000000005</v>
      </c>
      <c r="J38" s="8">
        <f>Table1[[#This Row],[Bugs+Envelope Weight]]-Table1[[#This Row],[Envelope+Staple weight]]</f>
        <v>0.15100000000000002</v>
      </c>
      <c r="K38" s="25">
        <f>Table1[[#This Row],[Insect_Weight]]/Table1[[#This Row],[Quantity]]</f>
        <v>4.8867313915857617E-4</v>
      </c>
      <c r="L38" s="8">
        <v>0.72599999999999998</v>
      </c>
      <c r="M38" s="8" t="b">
        <f t="shared" si="1"/>
        <v>1</v>
      </c>
      <c r="N38" s="8">
        <v>0.72499999999999998</v>
      </c>
      <c r="O38" s="8">
        <f>Table1[[#This Row],[Dry_Weight_Final]]-Table1[[#This Row],[Envelope+Staple weight]]</f>
        <v>6.7999999999999949E-2</v>
      </c>
      <c r="P38" s="10">
        <v>0.71889999999999998</v>
      </c>
      <c r="Q38" s="38">
        <f>Table1[[#This Row],[Lipid Free Weight with envelope]]-Table1[[#This Row],[Envelope+Staple weight]]</f>
        <v>6.1899999999999955E-2</v>
      </c>
      <c r="R38" s="38">
        <f>Table1[[#This Row],[Insect_Weight]]-Table1[[#This Row],[Lipid_Free_Weight]]</f>
        <v>8.9100000000000068E-2</v>
      </c>
    </row>
    <row r="39" spans="1:19" x14ac:dyDescent="0.25">
      <c r="A39" t="s">
        <v>46</v>
      </c>
      <c r="B39" s="7">
        <v>45840</v>
      </c>
      <c r="C39" s="8" t="s">
        <v>105</v>
      </c>
      <c r="D39" s="8" t="s">
        <v>115</v>
      </c>
      <c r="E39" s="38" t="str">
        <f>Table1[[#This Row],[Family]]&amp;Table1[[#This Row],[Size]]</f>
        <v>Heteroceridae</v>
      </c>
      <c r="F39" s="9"/>
      <c r="G39" s="8">
        <f>26+42</f>
        <v>68</v>
      </c>
      <c r="H39" s="8">
        <v>0.68200000000000005</v>
      </c>
      <c r="I39" s="8">
        <f>H39+0.062+0.071</f>
        <v>0.81499999999999995</v>
      </c>
      <c r="J39" s="8">
        <f>Table1[[#This Row],[Bugs+Envelope Weight]]-Table1[[#This Row],[Envelope+Staple weight]]</f>
        <v>0.1329999999999999</v>
      </c>
      <c r="K39" s="25">
        <f>Table1[[#This Row],[Insect_Weight]]/Table1[[#This Row],[Quantity]]</f>
        <v>1.9558823529411749E-3</v>
      </c>
      <c r="L39" s="8">
        <v>0.72399999999999998</v>
      </c>
      <c r="M39" s="8" t="b">
        <f t="shared" si="1"/>
        <v>1</v>
      </c>
      <c r="N39" s="8">
        <v>0.72399999999999998</v>
      </c>
      <c r="O39" s="8">
        <f>Table1[[#This Row],[Dry_Weight_Final]]-Table1[[#This Row],[Envelope+Staple weight]]</f>
        <v>4.1999999999999926E-2</v>
      </c>
      <c r="P39" s="10">
        <v>0.7198</v>
      </c>
      <c r="Q39" s="38">
        <f>Table1[[#This Row],[Lipid Free Weight with envelope]]-Table1[[#This Row],[Envelope+Staple weight]]</f>
        <v>3.7799999999999945E-2</v>
      </c>
      <c r="R39" s="38">
        <f>Table1[[#This Row],[Insect_Weight]]-Table1[[#This Row],[Lipid_Free_Weight]]</f>
        <v>9.5199999999999951E-2</v>
      </c>
      <c r="S39" t="s">
        <v>111</v>
      </c>
    </row>
    <row r="40" spans="1:19" x14ac:dyDescent="0.25">
      <c r="A40" t="s">
        <v>46</v>
      </c>
      <c r="B40" s="7">
        <v>45852</v>
      </c>
      <c r="C40" s="14" t="s">
        <v>105</v>
      </c>
      <c r="D40" s="14" t="s">
        <v>116</v>
      </c>
      <c r="E40" s="39" t="str">
        <f>Table1[[#This Row],[Family]]&amp;Table1[[#This Row],[Size]]</f>
        <v>Staphylinidae</v>
      </c>
      <c r="F40" s="8"/>
      <c r="G40" s="8">
        <v>131</v>
      </c>
      <c r="H40" s="8">
        <v>0.66500000000000004</v>
      </c>
      <c r="I40" s="8">
        <v>0.84199999999999997</v>
      </c>
      <c r="J40" s="8">
        <f>Table1[[#This Row],[Bugs+Envelope Weight]]-Table1[[#This Row],[Envelope+Staple weight]]</f>
        <v>0.17699999999999994</v>
      </c>
      <c r="K40" s="25">
        <f>Table1[[#This Row],[Insect_Weight]]/Table1[[#This Row],[Quantity]]</f>
        <v>1.3511450381679384E-3</v>
      </c>
      <c r="L40" s="8">
        <v>0.74099999999999999</v>
      </c>
      <c r="M40" s="8" t="b">
        <f t="shared" si="1"/>
        <v>1</v>
      </c>
      <c r="N40" s="8">
        <v>0.74199999999999999</v>
      </c>
      <c r="O40" s="8">
        <f>Table1[[#This Row],[Dry_Weight_Final]]-Table1[[#This Row],[Envelope+Staple weight]]</f>
        <v>7.6999999999999957E-2</v>
      </c>
      <c r="P40" s="10">
        <v>0.72230000000000005</v>
      </c>
      <c r="Q40" s="38">
        <f>Table1[[#This Row],[Lipid Free Weight with envelope]]-Table1[[#This Row],[Envelope+Staple weight]]</f>
        <v>5.7300000000000018E-2</v>
      </c>
      <c r="R40" s="38">
        <f>Table1[[#This Row],[Insect_Weight]]-Table1[[#This Row],[Lipid_Free_Weight]]</f>
        <v>0.11969999999999992</v>
      </c>
    </row>
    <row r="41" spans="1:19" x14ac:dyDescent="0.25">
      <c r="A41" t="s">
        <v>46</v>
      </c>
      <c r="B41" s="7">
        <v>45852</v>
      </c>
      <c r="C41" s="8" t="s">
        <v>112</v>
      </c>
      <c r="D41" s="8" t="s">
        <v>25</v>
      </c>
      <c r="E41" s="8" t="str">
        <f>Table1[[#This Row],[Family]]&amp;Table1[[#This Row],[Size]]</f>
        <v>Caenidae</v>
      </c>
      <c r="F41" s="8"/>
      <c r="G41" s="8">
        <f>106+149</f>
        <v>255</v>
      </c>
      <c r="H41" s="8">
        <v>0.66500000000000004</v>
      </c>
      <c r="I41" s="8">
        <f>H41+0.062+0.072</f>
        <v>0.79900000000000004</v>
      </c>
      <c r="J41" s="8">
        <f>Table1[[#This Row],[Bugs+Envelope Weight]]-Table1[[#This Row],[Envelope+Staple weight]]</f>
        <v>0.13400000000000001</v>
      </c>
      <c r="K41" s="25">
        <f>Table1[[#This Row],[Insect_Weight]]/Table1[[#This Row],[Quantity]]</f>
        <v>5.2549019607843136E-4</v>
      </c>
      <c r="L41" s="8">
        <v>0.74199999999999999</v>
      </c>
      <c r="M41" s="8" t="b">
        <f t="shared" si="1"/>
        <v>1</v>
      </c>
      <c r="N41" s="9">
        <v>0.74399999999999999</v>
      </c>
      <c r="O41" s="9">
        <f>Table1[[#This Row],[Dry_Weight_Final]]-Table1[[#This Row],[Envelope+Staple weight]]</f>
        <v>7.8999999999999959E-2</v>
      </c>
      <c r="P41" s="10">
        <v>0.73360000000000003</v>
      </c>
      <c r="Q41" s="38">
        <f>Table1[[#This Row],[Lipid Free Weight with envelope]]-Table1[[#This Row],[Envelope+Staple weight]]</f>
        <v>6.8599999999999994E-2</v>
      </c>
      <c r="R41" s="38">
        <f>Table1[[#This Row],[Insect_Weight]]-Table1[[#This Row],[Lipid_Free_Weight]]</f>
        <v>6.5400000000000014E-2</v>
      </c>
      <c r="S41" t="s">
        <v>111</v>
      </c>
    </row>
    <row r="42" spans="1:19" x14ac:dyDescent="0.25">
      <c r="A42" t="s">
        <v>46</v>
      </c>
      <c r="B42" s="31">
        <v>45863</v>
      </c>
      <c r="C42" s="9" t="s">
        <v>96</v>
      </c>
      <c r="D42" s="9" t="s">
        <v>100</v>
      </c>
      <c r="E42" s="9" t="str">
        <f>Table1[[#This Row],[Family]]&amp;Table1[[#This Row],[Size]]</f>
        <v>Crambidae&gt;1</v>
      </c>
      <c r="F42" s="9" t="s">
        <v>107</v>
      </c>
      <c r="G42" s="9">
        <v>16</v>
      </c>
      <c r="H42" s="9">
        <v>0.67200000000000004</v>
      </c>
      <c r="I42" s="9">
        <v>0.91900000000000004</v>
      </c>
      <c r="J42" s="8">
        <f>Table1[[#This Row],[Bugs+Envelope Weight]]-Table1[[#This Row],[Envelope+Staple weight]]</f>
        <v>0.247</v>
      </c>
      <c r="K42" s="28">
        <f>Table1[[#This Row],[Insect_Weight]]/Table1[[#This Row],[Quantity]]</f>
        <v>1.54375E-2</v>
      </c>
      <c r="L42" s="9">
        <v>0.754</v>
      </c>
      <c r="M42" s="9" t="b">
        <f t="shared" si="1"/>
        <v>1</v>
      </c>
      <c r="N42" s="9">
        <v>0.753</v>
      </c>
      <c r="O42" s="9">
        <f>Table1[[#This Row],[Dry_Weight_Final]]-Table1[[#This Row],[Envelope+Staple weight]]</f>
        <v>8.0999999999999961E-2</v>
      </c>
      <c r="P42" s="9">
        <v>0.73440000000000005</v>
      </c>
      <c r="Q42" s="9">
        <f>Table1[[#This Row],[Lipid Free Weight with envelope]]-Table1[[#This Row],[Envelope+Staple weight]]</f>
        <v>6.2400000000000011E-2</v>
      </c>
      <c r="R42" s="9">
        <f>Table1[[#This Row],[Insect_Weight]]-Table1[[#This Row],[Lipid_Free_Weight]]</f>
        <v>0.18459999999999999</v>
      </c>
    </row>
    <row r="43" spans="1:19" x14ac:dyDescent="0.25">
      <c r="A43" t="s">
        <v>33</v>
      </c>
      <c r="B43" s="31">
        <v>45830</v>
      </c>
      <c r="C43" s="9" t="s">
        <v>96</v>
      </c>
      <c r="D43" s="8" t="s">
        <v>100</v>
      </c>
      <c r="E43" s="38" t="str">
        <f>Table1[[#This Row],[Family]]&amp;Table1[[#This Row],[Size]]</f>
        <v>Crambidae&gt;1</v>
      </c>
      <c r="F43" s="9" t="s">
        <v>107</v>
      </c>
      <c r="G43" s="9">
        <v>36</v>
      </c>
      <c r="H43" s="9">
        <v>0.65100000000000002</v>
      </c>
      <c r="I43" s="9">
        <v>0.99399999999999999</v>
      </c>
      <c r="J43" s="8">
        <f>Table1[[#This Row],[Bugs+Envelope Weight]]-Table1[[#This Row],[Envelope+Staple weight]]</f>
        <v>0.34299999999999997</v>
      </c>
      <c r="K43" s="28">
        <f>Table1[[#This Row],[Insect_Weight]]/Table1[[#This Row],[Quantity]]</f>
        <v>9.5277777777777774E-3</v>
      </c>
      <c r="L43" s="9">
        <v>0.76200000000000001</v>
      </c>
      <c r="M43" s="9" t="b">
        <f t="shared" si="1"/>
        <v>1</v>
      </c>
      <c r="N43" s="9">
        <v>0.76300000000000001</v>
      </c>
      <c r="O43" s="9">
        <f>Table1[[#This Row],[Dry_Weight_Final]]-Table1[[#This Row],[Envelope+Staple weight]]</f>
        <v>0.11199999999999999</v>
      </c>
      <c r="P43" s="9">
        <v>0.73629999999999995</v>
      </c>
      <c r="Q43" s="9">
        <f>Table1[[#This Row],[Lipid Free Weight with envelope]]-Table1[[#This Row],[Envelope+Staple weight]]</f>
        <v>8.5299999999999931E-2</v>
      </c>
      <c r="R43" s="9">
        <f>Table1[[#This Row],[Insect_Weight]]-Table1[[#This Row],[Lipid_Free_Weight]]</f>
        <v>0.25770000000000004</v>
      </c>
    </row>
    <row r="44" spans="1:19" x14ac:dyDescent="0.25">
      <c r="A44" t="s">
        <v>33</v>
      </c>
      <c r="B44" s="7">
        <v>45830</v>
      </c>
      <c r="C44" s="8" t="s">
        <v>105</v>
      </c>
      <c r="D44" s="8" t="s">
        <v>106</v>
      </c>
      <c r="E44" s="8" t="str">
        <f>Table1[[#This Row],[Family]]&amp;Table1[[#This Row],[Size]]</f>
        <v>Carabidae&lt;1</v>
      </c>
      <c r="F44" s="8" t="s">
        <v>98</v>
      </c>
      <c r="G44" s="8">
        <v>41</v>
      </c>
      <c r="H44" s="8">
        <v>0.44</v>
      </c>
      <c r="I44" s="8">
        <v>1.198</v>
      </c>
      <c r="J44" s="8">
        <f>Table1[[#This Row],[Bugs+Envelope Weight]]-Table1[[#This Row],[Envelope+Staple weight]]</f>
        <v>0.75800000000000001</v>
      </c>
      <c r="K44" s="25">
        <f>Table1[[#This Row],[Insect_Weight]]/Table1[[#This Row],[Quantity]]</f>
        <v>1.848780487804878E-2</v>
      </c>
      <c r="L44" s="8">
        <v>0.81</v>
      </c>
      <c r="M44" s="8" t="b">
        <f t="shared" si="1"/>
        <v>1</v>
      </c>
      <c r="N44" s="8">
        <v>0.81</v>
      </c>
      <c r="O44" s="8">
        <f>Table1[[#This Row],[Dry_Weight_Final]]-Table1[[#This Row],[Envelope+Staple weight]]</f>
        <v>0.37000000000000005</v>
      </c>
      <c r="P44" s="10">
        <v>0.73819999999999997</v>
      </c>
      <c r="Q44" s="38">
        <f>Table1[[#This Row],[Lipid Free Weight with envelope]]-Table1[[#This Row],[Envelope+Staple weight]]</f>
        <v>0.29819999999999997</v>
      </c>
      <c r="R44" s="38">
        <f>Table1[[#This Row],[Insect_Weight]]-Table1[[#This Row],[Lipid_Free_Weight]]</f>
        <v>0.45980000000000004</v>
      </c>
    </row>
    <row r="45" spans="1:19" x14ac:dyDescent="0.25">
      <c r="A45" t="s">
        <v>46</v>
      </c>
      <c r="B45" s="7">
        <v>45840</v>
      </c>
      <c r="C45" s="8" t="s">
        <v>96</v>
      </c>
      <c r="D45" s="8" t="s">
        <v>101</v>
      </c>
      <c r="E45" s="8" t="str">
        <f>Table1[[#This Row],[Family]]&amp;Table1[[#This Row],[Size]]</f>
        <v>Noctuidae&lt;1</v>
      </c>
      <c r="F45" s="8" t="s">
        <v>98</v>
      </c>
      <c r="G45" s="8">
        <v>18</v>
      </c>
      <c r="H45" s="8">
        <v>0.66900000000000004</v>
      </c>
      <c r="I45" s="8">
        <v>0.94799999999999995</v>
      </c>
      <c r="J45" s="8">
        <f>Table1[[#This Row],[Bugs+Envelope Weight]]-Table1[[#This Row],[Envelope+Staple weight]]</f>
        <v>0.27899999999999991</v>
      </c>
      <c r="K45" s="25">
        <f>Table1[[#This Row],[Insect_Weight]]/Table1[[#This Row],[Quantity]]</f>
        <v>1.5499999999999995E-2</v>
      </c>
      <c r="L45" s="8">
        <v>0.76300000000000001</v>
      </c>
      <c r="M45" s="8" t="b">
        <f t="shared" si="1"/>
        <v>1</v>
      </c>
      <c r="N45" s="8">
        <v>0.76200000000000001</v>
      </c>
      <c r="O45" s="8">
        <f>Table1[[#This Row],[Dry_Weight_Final]]-Table1[[#This Row],[Envelope+Staple weight]]</f>
        <v>9.2999999999999972E-2</v>
      </c>
      <c r="P45" s="10">
        <v>0.74170000000000003</v>
      </c>
      <c r="Q45" s="38">
        <f>Table1[[#This Row],[Lipid Free Weight with envelope]]-Table1[[#This Row],[Envelope+Staple weight]]</f>
        <v>7.2699999999999987E-2</v>
      </c>
      <c r="R45" s="38">
        <f>Table1[[#This Row],[Insect_Weight]]-Table1[[#This Row],[Lipid_Free_Weight]]</f>
        <v>0.20629999999999993</v>
      </c>
    </row>
    <row r="46" spans="1:19" x14ac:dyDescent="0.25">
      <c r="A46" t="s">
        <v>33</v>
      </c>
      <c r="B46" s="7">
        <v>45819</v>
      </c>
      <c r="C46" s="8" t="s">
        <v>99</v>
      </c>
      <c r="D46" s="8" t="s">
        <v>100</v>
      </c>
      <c r="E46" s="8" t="str">
        <f>Table1[[#This Row],[Family]]&amp;Table1[[#This Row],[Size]]</f>
        <v>Crambidae&gt;1</v>
      </c>
      <c r="F46" s="8" t="s">
        <v>107</v>
      </c>
      <c r="G46" s="8">
        <v>24</v>
      </c>
      <c r="H46" s="8">
        <v>0.65400000000000003</v>
      </c>
      <c r="I46" s="8">
        <v>1.004</v>
      </c>
      <c r="J46" s="8">
        <f>Table1[[#This Row],[Bugs+Envelope Weight]]-Table1[[#This Row],[Envelope+Staple weight]]</f>
        <v>0.35</v>
      </c>
      <c r="K46" s="25">
        <f>Table1[[#This Row],[Insect_Weight]]/Table1[[#This Row],[Quantity]]</f>
        <v>1.4583333333333332E-2</v>
      </c>
      <c r="L46" s="8">
        <v>0.77400000000000002</v>
      </c>
      <c r="M46" s="8" t="b">
        <f t="shared" si="1"/>
        <v>1</v>
      </c>
      <c r="N46" s="8">
        <v>0.77400000000000002</v>
      </c>
      <c r="O46" s="8">
        <f>Table1[[#This Row],[Dry_Weight_Final]]-Table1[[#This Row],[Envelope+Staple weight]]</f>
        <v>0.12</v>
      </c>
      <c r="P46" s="10">
        <v>0.74570000000000003</v>
      </c>
      <c r="Q46" s="38">
        <f>Table1[[#This Row],[Lipid Free Weight with envelope]]-Table1[[#This Row],[Envelope+Staple weight]]</f>
        <v>9.1700000000000004E-2</v>
      </c>
      <c r="R46" s="38">
        <f>Table1[[#This Row],[Insect_Weight]]-Table1[[#This Row],[Lipid_Free_Weight]]</f>
        <v>0.25829999999999997</v>
      </c>
    </row>
    <row r="47" spans="1:19" x14ac:dyDescent="0.25">
      <c r="A47" t="s">
        <v>46</v>
      </c>
      <c r="B47" s="7">
        <v>45852</v>
      </c>
      <c r="C47" s="8" t="s">
        <v>105</v>
      </c>
      <c r="D47" s="8" t="s">
        <v>106</v>
      </c>
      <c r="E47" s="8" t="str">
        <f>Table1[[#This Row],[Family]]&amp;Table1[[#This Row],[Size]]</f>
        <v>Carabidae&lt;1</v>
      </c>
      <c r="F47" s="8" t="s">
        <v>98</v>
      </c>
      <c r="G47" s="8">
        <v>54</v>
      </c>
      <c r="H47" s="8">
        <v>0.65800000000000003</v>
      </c>
      <c r="I47" s="8">
        <v>0.92200000000000004</v>
      </c>
      <c r="J47" s="8">
        <f>Table1[[#This Row],[Bugs+Envelope Weight]]-Table1[[#This Row],[Envelope+Staple weight]]</f>
        <v>0.26400000000000001</v>
      </c>
      <c r="K47" s="25">
        <f>Table1[[#This Row],[Insect_Weight]]/Table1[[#This Row],[Quantity]]</f>
        <v>4.8888888888888888E-3</v>
      </c>
      <c r="L47" s="8">
        <v>0.77100000000000002</v>
      </c>
      <c r="M47" s="8" t="b">
        <f t="shared" si="1"/>
        <v>1</v>
      </c>
      <c r="N47" s="8">
        <v>0.77100000000000002</v>
      </c>
      <c r="O47" s="8">
        <f>Table1[[#This Row],[Dry_Weight_Final]]-Table1[[#This Row],[Envelope+Staple weight]]</f>
        <v>0.11299999999999999</v>
      </c>
      <c r="P47" s="10">
        <v>0.74780000000000002</v>
      </c>
      <c r="Q47" s="38">
        <f>Table1[[#This Row],[Lipid Free Weight with envelope]]-Table1[[#This Row],[Envelope+Staple weight]]</f>
        <v>8.9799999999999991E-2</v>
      </c>
      <c r="R47" s="38">
        <f>Table1[[#This Row],[Insect_Weight]]-Table1[[#This Row],[Lipid_Free_Weight]]</f>
        <v>0.17420000000000002</v>
      </c>
    </row>
    <row r="48" spans="1:19" x14ac:dyDescent="0.25">
      <c r="A48" t="s">
        <v>46</v>
      </c>
      <c r="B48" s="7">
        <v>45840</v>
      </c>
      <c r="C48" s="8" t="s">
        <v>96</v>
      </c>
      <c r="D48" s="8" t="s">
        <v>16</v>
      </c>
      <c r="E48" s="8" t="str">
        <f>Table1[[#This Row],[Family]]&amp;Table1[[#This Row],[Size]]</f>
        <v>Gelechiidae</v>
      </c>
      <c r="F48" s="8"/>
      <c r="G48" s="8">
        <v>70</v>
      </c>
      <c r="H48" s="8">
        <v>0.65500000000000003</v>
      </c>
      <c r="I48" s="8">
        <v>0.94599999999999995</v>
      </c>
      <c r="J48" s="8">
        <f>Table1[[#This Row],[Bugs+Envelope Weight]]-Table1[[#This Row],[Envelope+Staple weight]]</f>
        <v>0.29099999999999993</v>
      </c>
      <c r="K48" s="25">
        <f>Table1[[#This Row],[Insect_Weight]]/Table1[[#This Row],[Quantity]]</f>
        <v>4.1571428571428558E-3</v>
      </c>
      <c r="L48" s="8">
        <v>0.77900000000000003</v>
      </c>
      <c r="M48" s="8" t="b">
        <f t="shared" si="1"/>
        <v>1</v>
      </c>
      <c r="N48" s="8">
        <v>0.78</v>
      </c>
      <c r="O48" s="8">
        <f>Table1[[#This Row],[Dry_Weight_Final]]-Table1[[#This Row],[Envelope+Staple weight]]</f>
        <v>0.125</v>
      </c>
      <c r="P48" s="10">
        <v>0.75460000000000005</v>
      </c>
      <c r="Q48" s="38">
        <f>Table1[[#This Row],[Lipid Free Weight with envelope]]-Table1[[#This Row],[Envelope+Staple weight]]</f>
        <v>9.9600000000000022E-2</v>
      </c>
      <c r="R48" s="38">
        <f>Table1[[#This Row],[Insect_Weight]]-Table1[[#This Row],[Lipid_Free_Weight]]</f>
        <v>0.1913999999999999</v>
      </c>
    </row>
    <row r="49" spans="1:18" x14ac:dyDescent="0.25">
      <c r="A49" t="s">
        <v>33</v>
      </c>
      <c r="B49" s="7">
        <v>45830</v>
      </c>
      <c r="C49" s="8" t="s">
        <v>103</v>
      </c>
      <c r="D49" s="8" t="s">
        <v>104</v>
      </c>
      <c r="E49" s="8" t="str">
        <f>Table1[[#This Row],[Family]]&amp;Table1[[#This Row],[Size]]</f>
        <v xml:space="preserve">Nematocera </v>
      </c>
      <c r="F49" s="8"/>
      <c r="G49" s="8">
        <v>499</v>
      </c>
      <c r="H49" s="8">
        <v>0.65900000000000003</v>
      </c>
      <c r="I49" s="8">
        <v>0.96799999999999997</v>
      </c>
      <c r="J49" s="8">
        <f>Table1[[#This Row],[Bugs+Envelope Weight]]-Table1[[#This Row],[Envelope+Staple weight]]</f>
        <v>0.30899999999999994</v>
      </c>
      <c r="K49" s="25">
        <f>Table1[[#This Row],[Insect_Weight]]/Table1[[#This Row],[Quantity]]</f>
        <v>6.1923847695390772E-4</v>
      </c>
      <c r="L49" s="8">
        <v>0.79800000000000004</v>
      </c>
      <c r="M49" s="8" t="b">
        <f t="shared" si="1"/>
        <v>1</v>
      </c>
      <c r="N49" s="8">
        <v>0.79600000000000004</v>
      </c>
      <c r="O49" s="8">
        <f>Table1[[#This Row],[Dry_Weight_Final]]-Table1[[#This Row],[Envelope+Staple weight]]</f>
        <v>0.13700000000000001</v>
      </c>
      <c r="P49" s="10">
        <v>0.78210000000000002</v>
      </c>
      <c r="Q49" s="38">
        <f>Table1[[#This Row],[Lipid Free Weight with envelope]]-Table1[[#This Row],[Envelope+Staple weight]]</f>
        <v>0.12309999999999999</v>
      </c>
      <c r="R49" s="38">
        <f>Table1[[#This Row],[Insect_Weight]]-Table1[[#This Row],[Lipid_Free_Weight]]</f>
        <v>0.18589999999999995</v>
      </c>
    </row>
    <row r="50" spans="1:18" x14ac:dyDescent="0.25">
      <c r="A50" t="s">
        <v>46</v>
      </c>
      <c r="B50" s="7">
        <v>45840</v>
      </c>
      <c r="C50" s="8" t="s">
        <v>108</v>
      </c>
      <c r="D50" s="8" t="s">
        <v>22</v>
      </c>
      <c r="E50" s="8" t="str">
        <f>Table1[[#This Row],[Family]]&amp;Table1[[#This Row],[Size]]</f>
        <v>Limnephilidae</v>
      </c>
      <c r="F50" s="8"/>
      <c r="G50" s="8">
        <v>21</v>
      </c>
      <c r="H50" s="8">
        <v>0.66100000000000003</v>
      </c>
      <c r="I50" s="8">
        <v>1.0649999999999999</v>
      </c>
      <c r="J50" s="8">
        <f>Table1[[#This Row],[Bugs+Envelope Weight]]-Table1[[#This Row],[Envelope+Staple weight]]</f>
        <v>0.40399999999999991</v>
      </c>
      <c r="K50" s="25">
        <f>Table1[[#This Row],[Insect_Weight]]/Table1[[#This Row],[Quantity]]</f>
        <v>1.9238095238095235E-2</v>
      </c>
      <c r="L50" s="8">
        <v>0.80700000000000005</v>
      </c>
      <c r="M50" s="8" t="b">
        <f t="shared" si="1"/>
        <v>1</v>
      </c>
      <c r="N50" s="8">
        <v>0.80300000000000005</v>
      </c>
      <c r="O50" s="8">
        <f>Table1[[#This Row],[Dry_Weight_Final]]-Table1[[#This Row],[Envelope+Staple weight]]</f>
        <v>0.14200000000000002</v>
      </c>
      <c r="P50" s="10">
        <v>0.78959999999999997</v>
      </c>
      <c r="Q50" s="38">
        <f>Table1[[#This Row],[Lipid Free Weight with envelope]]-Table1[[#This Row],[Envelope+Staple weight]]</f>
        <v>0.12859999999999994</v>
      </c>
      <c r="R50" s="38">
        <f>Table1[[#This Row],[Insect_Weight]]-Table1[[#This Row],[Lipid_Free_Weight]]</f>
        <v>0.27539999999999998</v>
      </c>
    </row>
    <row r="51" spans="1:18" x14ac:dyDescent="0.25">
      <c r="A51" t="s">
        <v>46</v>
      </c>
      <c r="B51" s="7">
        <v>45840</v>
      </c>
      <c r="C51" s="8" t="s">
        <v>96</v>
      </c>
      <c r="D51" s="8" t="s">
        <v>117</v>
      </c>
      <c r="E51" s="8" t="str">
        <f>Table1[[#This Row],[Family]]&amp;Table1[[#This Row],[Size]]</f>
        <v>Tortricidae&lt;1</v>
      </c>
      <c r="F51" s="8" t="s">
        <v>98</v>
      </c>
      <c r="G51" s="8">
        <v>61</v>
      </c>
      <c r="H51" s="8">
        <v>0.65300000000000002</v>
      </c>
      <c r="I51" s="8">
        <v>1.0980000000000001</v>
      </c>
      <c r="J51" s="8">
        <f>Table1[[#This Row],[Bugs+Envelope Weight]]-Table1[[#This Row],[Envelope+Staple weight]]</f>
        <v>0.44500000000000006</v>
      </c>
      <c r="K51" s="25">
        <f>Table1[[#This Row],[Insect_Weight]]/Table1[[#This Row],[Quantity]]</f>
        <v>7.2950819672131162E-3</v>
      </c>
      <c r="L51" s="8">
        <v>0.83399999999999996</v>
      </c>
      <c r="M51" s="8" t="b">
        <f t="shared" si="1"/>
        <v>1</v>
      </c>
      <c r="N51" s="8">
        <v>0.83199999999999996</v>
      </c>
      <c r="O51" s="8">
        <f>Table1[[#This Row],[Dry_Weight_Final]]-Table1[[#This Row],[Envelope+Staple weight]]</f>
        <v>0.17899999999999994</v>
      </c>
      <c r="P51" s="10">
        <v>0.79659999999999997</v>
      </c>
      <c r="Q51" s="38">
        <f>Table1[[#This Row],[Lipid Free Weight with envelope]]-Table1[[#This Row],[Envelope+Staple weight]]</f>
        <v>0.14359999999999995</v>
      </c>
      <c r="R51" s="38">
        <f>Table1[[#This Row],[Insect_Weight]]-Table1[[#This Row],[Lipid_Free_Weight]]</f>
        <v>0.30140000000000011</v>
      </c>
    </row>
    <row r="52" spans="1:18" x14ac:dyDescent="0.25">
      <c r="A52" t="s">
        <v>33</v>
      </c>
      <c r="B52" s="7">
        <v>45830</v>
      </c>
      <c r="C52" s="8" t="s">
        <v>96</v>
      </c>
      <c r="D52" s="8" t="s">
        <v>17</v>
      </c>
      <c r="E52" s="8" t="str">
        <f>Table1[[#This Row],[Family]]&amp;Table1[[#This Row],[Size]]</f>
        <v>Lasiocampidae</v>
      </c>
      <c r="F52" s="8"/>
      <c r="G52" s="8">
        <v>4</v>
      </c>
      <c r="H52" s="8">
        <v>0.67100000000000004</v>
      </c>
      <c r="I52" s="8">
        <v>1.179</v>
      </c>
      <c r="J52" s="8">
        <f>Table1[[#This Row],[Bugs+Envelope Weight]]-Table1[[#This Row],[Envelope+Staple weight]]</f>
        <v>0.50800000000000001</v>
      </c>
      <c r="K52" s="25">
        <f>Table1[[#This Row],[Insect_Weight]]/Table1[[#This Row],[Quantity]]</f>
        <v>0.127</v>
      </c>
      <c r="L52" s="8">
        <v>0.81599999999999995</v>
      </c>
      <c r="M52" s="8" t="b">
        <f t="shared" si="1"/>
        <v>1</v>
      </c>
      <c r="N52" s="8">
        <v>0.82</v>
      </c>
      <c r="O52" s="8">
        <f>Table1[[#This Row],[Dry_Weight_Final]]-Table1[[#This Row],[Envelope+Staple weight]]</f>
        <v>0.14899999999999991</v>
      </c>
      <c r="P52" s="10">
        <v>0.79790000000000005</v>
      </c>
      <c r="Q52" s="38">
        <f>Table1[[#This Row],[Lipid Free Weight with envelope]]-Table1[[#This Row],[Envelope+Staple weight]]</f>
        <v>0.12690000000000001</v>
      </c>
      <c r="R52" s="38">
        <f>Table1[[#This Row],[Insect_Weight]]-Table1[[#This Row],[Lipid_Free_Weight]]</f>
        <v>0.38109999999999999</v>
      </c>
    </row>
    <row r="53" spans="1:18" x14ac:dyDescent="0.25">
      <c r="A53" t="s">
        <v>33</v>
      </c>
      <c r="B53" s="7">
        <v>45819</v>
      </c>
      <c r="C53" s="8" t="s">
        <v>96</v>
      </c>
      <c r="D53" s="8" t="s">
        <v>109</v>
      </c>
      <c r="E53" s="8" t="str">
        <f>Table1[[#This Row],[Family]]&amp;Table1[[#This Row],[Size]]</f>
        <v>Erebidae&gt;1</v>
      </c>
      <c r="F53" s="8" t="s">
        <v>107</v>
      </c>
      <c r="G53" s="8">
        <v>14</v>
      </c>
      <c r="H53" s="8">
        <v>0.66100000000000003</v>
      </c>
      <c r="I53" s="8">
        <v>1.323</v>
      </c>
      <c r="J53" s="8">
        <f>Table1[[#This Row],[Bugs+Envelope Weight]]-Table1[[#This Row],[Envelope+Staple weight]]</f>
        <v>0.66199999999999992</v>
      </c>
      <c r="K53" s="25">
        <f>Table1[[#This Row],[Insect_Weight]]/Table1[[#This Row],[Quantity]]</f>
        <v>4.7285714285714278E-2</v>
      </c>
      <c r="L53" s="8">
        <v>0.89700000000000002</v>
      </c>
      <c r="M53" s="8" t="b">
        <f t="shared" si="1"/>
        <v>1</v>
      </c>
      <c r="N53" s="8">
        <v>0.89300000000000002</v>
      </c>
      <c r="O53" s="8">
        <f>Table1[[#This Row],[Dry_Weight_Final]]-Table1[[#This Row],[Envelope+Staple weight]]</f>
        <v>0.23199999999999998</v>
      </c>
      <c r="P53" s="10">
        <v>0.84960000000000002</v>
      </c>
      <c r="Q53" s="38">
        <f>Table1[[#This Row],[Lipid Free Weight with envelope]]-Table1[[#This Row],[Envelope+Staple weight]]</f>
        <v>0.18859999999999999</v>
      </c>
      <c r="R53" s="38">
        <f>Table1[[#This Row],[Insect_Weight]]-Table1[[#This Row],[Lipid_Free_Weight]]</f>
        <v>0.47339999999999993</v>
      </c>
    </row>
    <row r="54" spans="1:18" x14ac:dyDescent="0.25">
      <c r="A54" t="s">
        <v>46</v>
      </c>
      <c r="B54" s="7">
        <v>45863</v>
      </c>
      <c r="C54" s="8" t="s">
        <v>96</v>
      </c>
      <c r="D54" s="8" t="s">
        <v>109</v>
      </c>
      <c r="E54" s="8" t="str">
        <f>Table1[[#This Row],[Family]]&amp;Table1[[#This Row],[Size]]</f>
        <v>Erebidae&lt;1</v>
      </c>
      <c r="F54" s="8" t="s">
        <v>98</v>
      </c>
      <c r="G54" s="8">
        <v>38</v>
      </c>
      <c r="H54" s="8">
        <v>0.66500000000000004</v>
      </c>
      <c r="I54" s="8">
        <v>1.327</v>
      </c>
      <c r="J54" s="8">
        <f>Table1[[#This Row],[Bugs+Envelope Weight]]-Table1[[#This Row],[Envelope+Staple weight]]</f>
        <v>0.66199999999999992</v>
      </c>
      <c r="K54" s="25">
        <f>Table1[[#This Row],[Insect_Weight]]/Table1[[#This Row],[Quantity]]</f>
        <v>1.7421052631578945E-2</v>
      </c>
      <c r="L54" s="8">
        <v>0.89700000000000002</v>
      </c>
      <c r="M54" s="8" t="b">
        <f t="shared" si="1"/>
        <v>1</v>
      </c>
      <c r="N54" s="8">
        <v>0.89500000000000002</v>
      </c>
      <c r="O54" s="8">
        <f>Table1[[#This Row],[Dry_Weight_Final]]-Table1[[#This Row],[Envelope+Staple weight]]</f>
        <v>0.22999999999999998</v>
      </c>
      <c r="P54" s="10">
        <v>0.85709999999999997</v>
      </c>
      <c r="Q54" s="38">
        <f>Table1[[#This Row],[Lipid Free Weight with envelope]]-Table1[[#This Row],[Envelope+Staple weight]]</f>
        <v>0.19209999999999994</v>
      </c>
      <c r="R54" s="38">
        <f>Table1[[#This Row],[Insect_Weight]]-Table1[[#This Row],[Lipid_Free_Weight]]</f>
        <v>0.46989999999999998</v>
      </c>
    </row>
    <row r="55" spans="1:18" x14ac:dyDescent="0.25">
      <c r="A55" t="s">
        <v>33</v>
      </c>
      <c r="B55" s="7">
        <v>45830</v>
      </c>
      <c r="C55" s="8" t="s">
        <v>96</v>
      </c>
      <c r="D55" s="8" t="s">
        <v>117</v>
      </c>
      <c r="E55" s="8" t="str">
        <f>Table1[[#This Row],[Family]]&amp;Table1[[#This Row],[Size]]</f>
        <v>Tortricidae&gt;1</v>
      </c>
      <c r="F55" s="8" t="s">
        <v>107</v>
      </c>
      <c r="G55" s="8">
        <v>40</v>
      </c>
      <c r="H55" s="8">
        <v>0.65900000000000003</v>
      </c>
      <c r="I55" s="8">
        <v>1.3640000000000001</v>
      </c>
      <c r="J55" s="8">
        <f>Table1[[#This Row],[Bugs+Envelope Weight]]-Table1[[#This Row],[Envelope+Staple weight]]</f>
        <v>0.70500000000000007</v>
      </c>
      <c r="K55" s="25">
        <f>Table1[[#This Row],[Insect_Weight]]/Table1[[#This Row],[Quantity]]</f>
        <v>1.7625000000000002E-2</v>
      </c>
      <c r="L55" s="8">
        <v>0.90200000000000002</v>
      </c>
      <c r="M55" s="8" t="b">
        <f t="shared" si="1"/>
        <v>1</v>
      </c>
      <c r="N55" s="8">
        <v>0.90400000000000003</v>
      </c>
      <c r="O55" s="8">
        <f>Table1[[#This Row],[Dry_Weight_Final]]-Table1[[#This Row],[Envelope+Staple weight]]</f>
        <v>0.245</v>
      </c>
      <c r="P55" s="10">
        <v>0.86150000000000004</v>
      </c>
      <c r="Q55" s="38">
        <f>Table1[[#This Row],[Lipid Free Weight with envelope]]-Table1[[#This Row],[Envelope+Staple weight]]</f>
        <v>0.20250000000000001</v>
      </c>
      <c r="R55" s="38">
        <f>Table1[[#This Row],[Insect_Weight]]-Table1[[#This Row],[Lipid_Free_Weight]]</f>
        <v>0.50250000000000006</v>
      </c>
    </row>
    <row r="56" spans="1:18" x14ac:dyDescent="0.25">
      <c r="A56" t="s">
        <v>33</v>
      </c>
      <c r="B56" s="7">
        <v>45830</v>
      </c>
      <c r="C56" s="8" t="s">
        <v>105</v>
      </c>
      <c r="D56" s="8" t="s">
        <v>29</v>
      </c>
      <c r="E56" s="8" t="str">
        <f>Table1[[#This Row],[Family]]&amp;Table1[[#This Row],[Size]]</f>
        <v>Silphidae</v>
      </c>
      <c r="F56" s="8"/>
      <c r="G56" s="8">
        <v>4</v>
      </c>
      <c r="H56" s="8">
        <v>0.432</v>
      </c>
      <c r="I56" s="8">
        <v>1.673</v>
      </c>
      <c r="J56" s="8">
        <f>Table1[[#This Row],[Bugs+Envelope Weight]]-Table1[[#This Row],[Envelope+Staple weight]]</f>
        <v>1.2410000000000001</v>
      </c>
      <c r="K56" s="25">
        <f>Table1[[#This Row],[Insect_Weight]]/Table1[[#This Row],[Quantity]]</f>
        <v>0.31025000000000003</v>
      </c>
      <c r="L56" s="8">
        <v>0.92500000000000004</v>
      </c>
      <c r="M56" s="8" t="b">
        <f t="shared" si="1"/>
        <v>1</v>
      </c>
      <c r="N56" s="8">
        <v>0.92400000000000004</v>
      </c>
      <c r="O56" s="8">
        <f>Table1[[#This Row],[Dry_Weight_Final]]-Table1[[#This Row],[Envelope+Staple weight]]</f>
        <v>0.49200000000000005</v>
      </c>
      <c r="P56" s="10">
        <v>0.87590000000000001</v>
      </c>
      <c r="Q56" s="38">
        <f>Table1[[#This Row],[Lipid Free Weight with envelope]]-Table1[[#This Row],[Envelope+Staple weight]]</f>
        <v>0.44390000000000002</v>
      </c>
      <c r="R56" s="38">
        <f>Table1[[#This Row],[Insect_Weight]]-Table1[[#This Row],[Lipid_Free_Weight]]</f>
        <v>0.79710000000000014</v>
      </c>
    </row>
    <row r="57" spans="1:18" x14ac:dyDescent="0.25">
      <c r="A57" t="s">
        <v>32</v>
      </c>
      <c r="B57" s="7">
        <v>45808</v>
      </c>
      <c r="C57" s="8" t="s">
        <v>99</v>
      </c>
      <c r="D57" s="8" t="s">
        <v>101</v>
      </c>
      <c r="E57" s="8" t="str">
        <f>Table1[[#This Row],[Family]]&amp;Table1[[#This Row],[Size]]</f>
        <v>Noctuidae&gt;1</v>
      </c>
      <c r="F57" s="8" t="s">
        <v>107</v>
      </c>
      <c r="G57" s="8">
        <v>6</v>
      </c>
      <c r="H57" s="8">
        <v>0.66</v>
      </c>
      <c r="I57" s="8">
        <v>1.5760000000000001</v>
      </c>
      <c r="J57" s="8">
        <f>Table1[[#This Row],[Bugs+Envelope Weight]]-Table1[[#This Row],[Envelope+Staple weight]]</f>
        <v>0.91600000000000004</v>
      </c>
      <c r="K57" s="25">
        <f>Table1[[#This Row],[Insect_Weight]]/Table1[[#This Row],[Quantity]]</f>
        <v>0.15266666666666667</v>
      </c>
      <c r="L57" s="8">
        <v>1.0449999999999999</v>
      </c>
      <c r="M57" s="8" t="b">
        <f t="shared" si="1"/>
        <v>1</v>
      </c>
      <c r="N57" s="8">
        <v>1.0449999999999999</v>
      </c>
      <c r="O57" s="8">
        <f>Table1[[#This Row],[Dry_Weight_Final]]-Table1[[#This Row],[Envelope+Staple weight]]</f>
        <v>0.3849999999999999</v>
      </c>
      <c r="P57" s="10">
        <v>0.88180000000000003</v>
      </c>
      <c r="Q57" s="38">
        <f>Table1[[#This Row],[Lipid Free Weight with envelope]]-Table1[[#This Row],[Envelope+Staple weight]]</f>
        <v>0.2218</v>
      </c>
      <c r="R57" s="38">
        <f>Table1[[#This Row],[Insect_Weight]]-Table1[[#This Row],[Lipid_Free_Weight]]</f>
        <v>0.69420000000000004</v>
      </c>
    </row>
    <row r="58" spans="1:18" x14ac:dyDescent="0.25">
      <c r="A58" t="s">
        <v>33</v>
      </c>
      <c r="B58" s="7">
        <v>45830</v>
      </c>
      <c r="C58" s="8" t="s">
        <v>96</v>
      </c>
      <c r="D58" s="8" t="s">
        <v>18</v>
      </c>
      <c r="E58" s="8" t="str">
        <f>Table1[[#This Row],[Family]]&amp;Table1[[#This Row],[Size]]</f>
        <v>Notodontidae</v>
      </c>
      <c r="F58" s="8"/>
      <c r="G58" s="8">
        <v>8</v>
      </c>
      <c r="H58" s="8">
        <v>0.67200000000000004</v>
      </c>
      <c r="I58" s="8">
        <v>1.7450000000000001</v>
      </c>
      <c r="J58" s="8">
        <f>Table1[[#This Row],[Bugs+Envelope Weight]]-Table1[[#This Row],[Envelope+Staple weight]]</f>
        <v>1.073</v>
      </c>
      <c r="K58" s="25">
        <f>Table1[[#This Row],[Insect_Weight]]/Table1[[#This Row],[Quantity]]</f>
        <v>0.13412499999999999</v>
      </c>
      <c r="L58" s="8">
        <v>1.1000000000000001</v>
      </c>
      <c r="M58" s="8" t="b">
        <f t="shared" si="1"/>
        <v>1</v>
      </c>
      <c r="N58" s="8">
        <v>1.0920000000000001</v>
      </c>
      <c r="O58" s="8">
        <f>Table1[[#This Row],[Dry_Weight_Final]]-Table1[[#This Row],[Envelope+Staple weight]]</f>
        <v>0.42000000000000004</v>
      </c>
      <c r="P58" s="10">
        <v>0.9274</v>
      </c>
      <c r="Q58" s="38">
        <f>Table1[[#This Row],[Lipid Free Weight with envelope]]-Table1[[#This Row],[Envelope+Staple weight]]</f>
        <v>0.25539999999999996</v>
      </c>
      <c r="R58" s="38">
        <f>Table1[[#This Row],[Insect_Weight]]-Table1[[#This Row],[Lipid_Free_Weight]]</f>
        <v>0.81759999999999999</v>
      </c>
    </row>
    <row r="59" spans="1:18" x14ac:dyDescent="0.25">
      <c r="A59" t="s">
        <v>46</v>
      </c>
      <c r="B59" s="7">
        <v>45852</v>
      </c>
      <c r="C59" s="8" t="s">
        <v>108</v>
      </c>
      <c r="D59" s="8" t="s">
        <v>23</v>
      </c>
      <c r="E59" s="8" t="str">
        <f>Table1[[#This Row],[Family]]&amp;Table1[[#This Row],[Size]]</f>
        <v>Phryganeidae</v>
      </c>
      <c r="F59" s="8"/>
      <c r="G59" s="8">
        <v>16</v>
      </c>
      <c r="H59" s="8">
        <v>0.67500000000000004</v>
      </c>
      <c r="I59" s="8">
        <v>1.49</v>
      </c>
      <c r="J59" s="8">
        <f>Table1[[#This Row],[Bugs+Envelope Weight]]-Table1[[#This Row],[Envelope+Staple weight]]</f>
        <v>0.81499999999999995</v>
      </c>
      <c r="K59" s="25">
        <f>Table1[[#This Row],[Insect_Weight]]/Table1[[#This Row],[Quantity]]</f>
        <v>5.0937499999999997E-2</v>
      </c>
      <c r="L59" s="8">
        <v>0.95599999999999996</v>
      </c>
      <c r="M59" s="8" t="b">
        <f t="shared" si="1"/>
        <v>1</v>
      </c>
      <c r="N59" s="8">
        <v>0.96</v>
      </c>
      <c r="O59" s="8">
        <f>Table1[[#This Row],[Dry_Weight_Final]]-Table1[[#This Row],[Envelope+Staple weight]]</f>
        <v>0.28499999999999992</v>
      </c>
      <c r="P59" s="10">
        <v>0.93289999999999995</v>
      </c>
      <c r="Q59" s="38">
        <f>Table1[[#This Row],[Lipid Free Weight with envelope]]-Table1[[#This Row],[Envelope+Staple weight]]</f>
        <v>0.25789999999999991</v>
      </c>
      <c r="R59" s="38">
        <f>Table1[[#This Row],[Insect_Weight]]-Table1[[#This Row],[Lipid_Free_Weight]]</f>
        <v>0.55710000000000004</v>
      </c>
    </row>
    <row r="60" spans="1:18" x14ac:dyDescent="0.25">
      <c r="A60" t="s">
        <v>46</v>
      </c>
      <c r="B60" s="7">
        <v>45840</v>
      </c>
      <c r="C60" s="8" t="s">
        <v>112</v>
      </c>
      <c r="D60" s="8" t="s">
        <v>26</v>
      </c>
      <c r="E60" s="8" t="str">
        <f>Table1[[#This Row],[Family]]&amp;Table1[[#This Row],[Size]]</f>
        <v>Ephemeridae</v>
      </c>
      <c r="F60" s="8"/>
      <c r="G60" s="8">
        <v>18</v>
      </c>
      <c r="H60" s="8">
        <v>0.66200000000000003</v>
      </c>
      <c r="I60" s="8">
        <v>1.4970000000000001</v>
      </c>
      <c r="J60" s="8">
        <f>Table1[[#This Row],[Bugs+Envelope Weight]]-Table1[[#This Row],[Envelope+Staple weight]]</f>
        <v>0.83500000000000008</v>
      </c>
      <c r="K60" s="25">
        <f>Table1[[#This Row],[Insect_Weight]]/Table1[[#This Row],[Quantity]]</f>
        <v>4.6388888888888896E-2</v>
      </c>
      <c r="L60" s="8">
        <v>0.97399999999999998</v>
      </c>
      <c r="M60" s="8" t="b">
        <f t="shared" si="1"/>
        <v>1</v>
      </c>
      <c r="N60" s="8">
        <v>0.97499999999999998</v>
      </c>
      <c r="O60" s="8">
        <f>Table1[[#This Row],[Dry_Weight_Final]]-Table1[[#This Row],[Envelope+Staple weight]]</f>
        <v>0.31299999999999994</v>
      </c>
      <c r="P60" s="10">
        <v>0.96120000000000005</v>
      </c>
      <c r="Q60" s="38">
        <f>Table1[[#This Row],[Lipid Free Weight with envelope]]-Table1[[#This Row],[Envelope+Staple weight]]</f>
        <v>0.29920000000000002</v>
      </c>
      <c r="R60" s="38">
        <f>Table1[[#This Row],[Insect_Weight]]-Table1[[#This Row],[Lipid_Free_Weight]]</f>
        <v>0.53580000000000005</v>
      </c>
    </row>
    <row r="61" spans="1:18" x14ac:dyDescent="0.25">
      <c r="A61" t="s">
        <v>33</v>
      </c>
      <c r="B61" s="7">
        <v>45830</v>
      </c>
      <c r="C61" s="8" t="s">
        <v>96</v>
      </c>
      <c r="D61" s="8" t="s">
        <v>117</v>
      </c>
      <c r="E61" s="8" t="str">
        <f>Table1[[#This Row],[Family]]&amp;Table1[[#This Row],[Size]]</f>
        <v>Tortricidae&lt;1</v>
      </c>
      <c r="F61" s="8" t="s">
        <v>98</v>
      </c>
      <c r="G61" s="8">
        <v>107</v>
      </c>
      <c r="H61" s="8">
        <v>0.66</v>
      </c>
      <c r="I61" s="8">
        <v>1.585</v>
      </c>
      <c r="J61" s="8">
        <f>Table1[[#This Row],[Bugs+Envelope Weight]]-Table1[[#This Row],[Envelope+Staple weight]]</f>
        <v>0.92499999999999993</v>
      </c>
      <c r="K61" s="25">
        <f>Table1[[#This Row],[Insect_Weight]]/Table1[[#This Row],[Quantity]]</f>
        <v>8.6448598130841117E-3</v>
      </c>
      <c r="L61" s="8">
        <v>1.024</v>
      </c>
      <c r="M61" s="8" t="b">
        <f t="shared" si="1"/>
        <v>1</v>
      </c>
      <c r="N61" s="8">
        <v>1.028</v>
      </c>
      <c r="O61" s="8">
        <f>Table1[[#This Row],[Dry_Weight_Final]]-Table1[[#This Row],[Envelope+Staple weight]]</f>
        <v>0.36799999999999999</v>
      </c>
      <c r="P61" s="10">
        <v>0.96940000000000004</v>
      </c>
      <c r="Q61" s="38">
        <f>Table1[[#This Row],[Lipid Free Weight with envelope]]-Table1[[#This Row],[Envelope+Staple weight]]</f>
        <v>0.30940000000000001</v>
      </c>
      <c r="R61" s="38">
        <f>Table1[[#This Row],[Insect_Weight]]-Table1[[#This Row],[Lipid_Free_Weight]]</f>
        <v>0.61559999999999993</v>
      </c>
    </row>
    <row r="62" spans="1:18" x14ac:dyDescent="0.25">
      <c r="A62" t="s">
        <v>33</v>
      </c>
      <c r="B62" s="7">
        <v>45819</v>
      </c>
      <c r="C62" s="8" t="s">
        <v>96</v>
      </c>
      <c r="D62" s="8" t="s">
        <v>17</v>
      </c>
      <c r="E62" s="8" t="str">
        <f>Table1[[#This Row],[Family]]&amp;Table1[[#This Row],[Size]]</f>
        <v>Lasiocampidae</v>
      </c>
      <c r="F62" s="8"/>
      <c r="G62" s="8">
        <v>7</v>
      </c>
      <c r="H62" s="8">
        <v>0.66800000000000004</v>
      </c>
      <c r="I62" s="8">
        <v>1.8440000000000001</v>
      </c>
      <c r="J62" s="8">
        <f>Table1[[#This Row],[Bugs+Envelope Weight]]-Table1[[#This Row],[Envelope+Staple weight]]</f>
        <v>1.1760000000000002</v>
      </c>
      <c r="K62" s="25">
        <f>Table1[[#This Row],[Insect_Weight]]/Table1[[#This Row],[Quantity]]</f>
        <v>0.16800000000000001</v>
      </c>
      <c r="L62" s="8">
        <v>1.163</v>
      </c>
      <c r="M62" s="8" t="b">
        <f t="shared" si="1"/>
        <v>1</v>
      </c>
      <c r="N62" s="8">
        <v>1.163</v>
      </c>
      <c r="O62" s="8">
        <f>Table1[[#This Row],[Dry_Weight_Final]]-Table1[[#This Row],[Envelope+Staple weight]]</f>
        <v>0.495</v>
      </c>
      <c r="P62" s="10">
        <v>0.98540000000000005</v>
      </c>
      <c r="Q62" s="38">
        <f>Table1[[#This Row],[Lipid Free Weight with envelope]]-Table1[[#This Row],[Envelope+Staple weight]]</f>
        <v>0.31740000000000002</v>
      </c>
      <c r="R62" s="38">
        <f>Table1[[#This Row],[Insect_Weight]]-Table1[[#This Row],[Lipid_Free_Weight]]</f>
        <v>0.85860000000000014</v>
      </c>
    </row>
    <row r="63" spans="1:18" x14ac:dyDescent="0.25">
      <c r="A63" t="s">
        <v>46</v>
      </c>
      <c r="B63" s="7">
        <v>45840</v>
      </c>
      <c r="C63" s="8" t="s">
        <v>96</v>
      </c>
      <c r="D63" s="8" t="s">
        <v>97</v>
      </c>
      <c r="E63" s="8" t="str">
        <f>Table1[[#This Row],[Family]]&amp;Table1[[#This Row],[Size]]</f>
        <v>Geometridae&gt;1</v>
      </c>
      <c r="F63" s="8" t="s">
        <v>107</v>
      </c>
      <c r="G63" s="8">
        <v>29</v>
      </c>
      <c r="H63" s="8">
        <v>0.66200000000000003</v>
      </c>
      <c r="I63" s="8">
        <v>1.494</v>
      </c>
      <c r="J63" s="8">
        <f>Table1[[#This Row],[Bugs+Envelope Weight]]-Table1[[#This Row],[Envelope+Staple weight]]</f>
        <v>0.83199999999999996</v>
      </c>
      <c r="K63" s="25">
        <f>Table1[[#This Row],[Insect_Weight]]/Table1[[#This Row],[Quantity]]</f>
        <v>2.8689655172413793E-2</v>
      </c>
      <c r="L63" s="8">
        <v>1.042</v>
      </c>
      <c r="M63" s="8" t="b">
        <f t="shared" si="1"/>
        <v>1</v>
      </c>
      <c r="N63" s="8">
        <v>1.042</v>
      </c>
      <c r="O63" s="8">
        <f>Table1[[#This Row],[Dry_Weight_Final]]-Table1[[#This Row],[Envelope+Staple weight]]</f>
        <v>0.38</v>
      </c>
      <c r="P63" s="10">
        <v>0.99119999999999997</v>
      </c>
      <c r="Q63" s="38">
        <f>Table1[[#This Row],[Lipid Free Weight with envelope]]-Table1[[#This Row],[Envelope+Staple weight]]</f>
        <v>0.32919999999999994</v>
      </c>
      <c r="R63" s="38">
        <f>Table1[[#This Row],[Insect_Weight]]-Table1[[#This Row],[Lipid_Free_Weight]]</f>
        <v>0.50280000000000002</v>
      </c>
    </row>
    <row r="64" spans="1:18" x14ac:dyDescent="0.25">
      <c r="A64" t="s">
        <v>33</v>
      </c>
      <c r="B64" s="7">
        <v>45819</v>
      </c>
      <c r="C64" s="8" t="s">
        <v>96</v>
      </c>
      <c r="D64" s="8" t="s">
        <v>97</v>
      </c>
      <c r="E64" s="38" t="str">
        <f>Table1[[#This Row],[Family]]&amp;Table1[[#This Row],[Size]]</f>
        <v>Geometridae&gt;1</v>
      </c>
      <c r="F64" s="9" t="s">
        <v>107</v>
      </c>
      <c r="G64" s="8">
        <v>28</v>
      </c>
      <c r="H64" s="8">
        <v>0.66</v>
      </c>
      <c r="I64" s="8">
        <v>1.698</v>
      </c>
      <c r="J64" s="8">
        <f>Table1[[#This Row],[Bugs+Envelope Weight]]-Table1[[#This Row],[Envelope+Staple weight]]</f>
        <v>1.0379999999999998</v>
      </c>
      <c r="K64" s="25">
        <f>Table1[[#This Row],[Insect_Weight]]/Table1[[#This Row],[Quantity]]</f>
        <v>3.7071428571428568E-2</v>
      </c>
      <c r="L64" s="8">
        <v>1.0569999999999999</v>
      </c>
      <c r="M64" s="8" t="b">
        <f t="shared" si="1"/>
        <v>1</v>
      </c>
      <c r="N64" s="8">
        <v>1.0580000000000001</v>
      </c>
      <c r="O64" s="8">
        <f>Table1[[#This Row],[Dry_Weight_Final]]-Table1[[#This Row],[Envelope+Staple weight]]</f>
        <v>0.39800000000000002</v>
      </c>
      <c r="P64" s="10">
        <v>1.0178</v>
      </c>
      <c r="Q64" s="38">
        <f>Table1[[#This Row],[Lipid Free Weight with envelope]]-Table1[[#This Row],[Envelope+Staple weight]]</f>
        <v>0.35780000000000001</v>
      </c>
      <c r="R64" s="38">
        <f>Table1[[#This Row],[Insect_Weight]]-Table1[[#This Row],[Lipid_Free_Weight]]</f>
        <v>0.6801999999999998</v>
      </c>
    </row>
    <row r="65" spans="1:18" x14ac:dyDescent="0.25">
      <c r="A65" t="s">
        <v>46</v>
      </c>
      <c r="B65" s="7">
        <v>45840</v>
      </c>
      <c r="C65" s="8" t="s">
        <v>105</v>
      </c>
      <c r="D65" s="8" t="s">
        <v>106</v>
      </c>
      <c r="E65" s="8" t="str">
        <f>Table1[[#This Row],[Family]]&amp;Table1[[#This Row],[Size]]</f>
        <v>Carabidae&lt;1</v>
      </c>
      <c r="F65" s="8" t="s">
        <v>98</v>
      </c>
      <c r="G65" s="8">
        <v>161</v>
      </c>
      <c r="H65" s="8">
        <v>0.66300000000000003</v>
      </c>
      <c r="I65" s="8">
        <v>1.6559999999999999</v>
      </c>
      <c r="J65" s="8">
        <f>Table1[[#This Row],[Bugs+Envelope Weight]]-Table1[[#This Row],[Envelope+Staple weight]]</f>
        <v>0.99299999999999988</v>
      </c>
      <c r="K65" s="25">
        <f>Table1[[#This Row],[Insect_Weight]]/Table1[[#This Row],[Quantity]]</f>
        <v>6.167701863354037E-3</v>
      </c>
      <c r="L65" s="8">
        <v>1.0429999999999999</v>
      </c>
      <c r="M65" s="8" t="b">
        <f t="shared" si="1"/>
        <v>1</v>
      </c>
      <c r="N65" s="8">
        <v>1.1599999999999999</v>
      </c>
      <c r="O65" s="8">
        <f>Table1[[#This Row],[Dry_Weight_Final]]-Table1[[#This Row],[Envelope+Staple weight]]</f>
        <v>0.49699999999999989</v>
      </c>
      <c r="P65" s="10">
        <v>1.0561</v>
      </c>
      <c r="Q65" s="38">
        <f>Table1[[#This Row],[Lipid Free Weight with envelope]]-Table1[[#This Row],[Envelope+Staple weight]]</f>
        <v>0.3931</v>
      </c>
      <c r="R65" s="38">
        <f>Table1[[#This Row],[Insect_Weight]]-Table1[[#This Row],[Lipid_Free_Weight]]</f>
        <v>0.59989999999999988</v>
      </c>
    </row>
    <row r="66" spans="1:18" x14ac:dyDescent="0.25">
      <c r="A66" t="s">
        <v>33</v>
      </c>
      <c r="B66" s="7">
        <v>45830</v>
      </c>
      <c r="C66" s="8" t="s">
        <v>96</v>
      </c>
      <c r="D66" s="8" t="s">
        <v>97</v>
      </c>
      <c r="E66" s="8" t="str">
        <f>Table1[[#This Row],[Family]]&amp;Table1[[#This Row],[Size]]</f>
        <v>Geometridae&gt;1</v>
      </c>
      <c r="F66" s="8" t="s">
        <v>107</v>
      </c>
      <c r="G66" s="8">
        <v>43</v>
      </c>
      <c r="H66" s="8">
        <v>0.65200000000000002</v>
      </c>
      <c r="I66" s="8">
        <v>2.085</v>
      </c>
      <c r="J66" s="8">
        <f>Table1[[#This Row],[Bugs+Envelope Weight]]-Table1[[#This Row],[Envelope+Staple weight]]</f>
        <v>1.4329999999999998</v>
      </c>
      <c r="K66" s="25">
        <f>Table1[[#This Row],[Insect_Weight]]/Table1[[#This Row],[Quantity]]</f>
        <v>3.332558139534883E-2</v>
      </c>
      <c r="L66" s="8">
        <v>1.159</v>
      </c>
      <c r="M66" s="8" t="b">
        <f t="shared" ref="M66:M97" si="2">L66&lt;I66</f>
        <v>1</v>
      </c>
      <c r="N66" s="8">
        <v>1.1599999999999999</v>
      </c>
      <c r="O66" s="8">
        <f>Table1[[#This Row],[Dry_Weight_Final]]-Table1[[#This Row],[Envelope+Staple weight]]</f>
        <v>0.5079999999999999</v>
      </c>
      <c r="P66" s="10">
        <v>1.0984</v>
      </c>
      <c r="Q66" s="38">
        <f>Table1[[#This Row],[Lipid Free Weight with envelope]]-Table1[[#This Row],[Envelope+Staple weight]]</f>
        <v>0.44640000000000002</v>
      </c>
      <c r="R66" s="38">
        <f>Table1[[#This Row],[Insect_Weight]]-Table1[[#This Row],[Lipid_Free_Weight]]</f>
        <v>0.98659999999999981</v>
      </c>
    </row>
    <row r="67" spans="1:18" x14ac:dyDescent="0.25">
      <c r="A67" t="s">
        <v>33</v>
      </c>
      <c r="B67" s="7">
        <v>45819</v>
      </c>
      <c r="C67" s="8" t="s">
        <v>105</v>
      </c>
      <c r="D67" s="8" t="s">
        <v>29</v>
      </c>
      <c r="E67" s="8" t="str">
        <f>Table1[[#This Row],[Family]]&amp;Table1[[#This Row],[Size]]</f>
        <v>Silphidae</v>
      </c>
      <c r="F67" s="8"/>
      <c r="G67" s="8">
        <v>4</v>
      </c>
      <c r="H67" s="8">
        <v>0.65</v>
      </c>
      <c r="I67" s="8">
        <v>1.8939999999999999</v>
      </c>
      <c r="J67" s="8">
        <f>Table1[[#This Row],[Bugs+Envelope Weight]]-Table1[[#This Row],[Envelope+Staple weight]]</f>
        <v>1.2439999999999998</v>
      </c>
      <c r="K67" s="25">
        <f>Table1[[#This Row],[Insect_Weight]]/Table1[[#This Row],[Quantity]]</f>
        <v>0.31099999999999994</v>
      </c>
      <c r="L67" s="8">
        <v>1.157</v>
      </c>
      <c r="M67" s="8" t="b">
        <f t="shared" si="2"/>
        <v>1</v>
      </c>
      <c r="N67" s="8">
        <v>1.157</v>
      </c>
      <c r="O67" s="8">
        <f>Table1[[#This Row],[Dry_Weight_Final]]-Table1[[#This Row],[Envelope+Staple weight]]</f>
        <v>0.50700000000000001</v>
      </c>
      <c r="P67" s="10">
        <v>1.1153999999999999</v>
      </c>
      <c r="Q67" s="38">
        <f>Table1[[#This Row],[Lipid Free Weight with envelope]]-Table1[[#This Row],[Envelope+Staple weight]]</f>
        <v>0.46539999999999992</v>
      </c>
      <c r="R67" s="38">
        <f>Table1[[#This Row],[Insect_Weight]]-Table1[[#This Row],[Lipid_Free_Weight]]</f>
        <v>0.77859999999999985</v>
      </c>
    </row>
    <row r="68" spans="1:18" x14ac:dyDescent="0.25">
      <c r="A68" t="s">
        <v>33</v>
      </c>
      <c r="B68" s="7">
        <v>45830</v>
      </c>
      <c r="C68" s="8" t="s">
        <v>108</v>
      </c>
      <c r="D68" s="8" t="s">
        <v>23</v>
      </c>
      <c r="E68" s="8" t="str">
        <f>Table1[[#This Row],[Family]]&amp;Table1[[#This Row],[Size]]</f>
        <v>Phryganeidae</v>
      </c>
      <c r="F68" s="8"/>
      <c r="G68" s="8">
        <v>24</v>
      </c>
      <c r="H68" s="8">
        <v>0.65700000000000003</v>
      </c>
      <c r="I68" s="8">
        <v>2.0910000000000002</v>
      </c>
      <c r="J68" s="8">
        <f>Table1[[#This Row],[Bugs+Envelope Weight]]-Table1[[#This Row],[Envelope+Staple weight]]</f>
        <v>1.4340000000000002</v>
      </c>
      <c r="K68" s="25">
        <f>Table1[[#This Row],[Insect_Weight]]/Table1[[#This Row],[Quantity]]</f>
        <v>5.9750000000000004E-2</v>
      </c>
      <c r="L68" s="8">
        <v>1.171</v>
      </c>
      <c r="M68" s="8" t="b">
        <f t="shared" si="2"/>
        <v>1</v>
      </c>
      <c r="N68" s="8">
        <v>1.167</v>
      </c>
      <c r="O68" s="8">
        <f>Table1[[#This Row],[Dry_Weight_Final]]-Table1[[#This Row],[Envelope+Staple weight]]</f>
        <v>0.51</v>
      </c>
      <c r="P68" s="10">
        <v>1.1194999999999999</v>
      </c>
      <c r="Q68" s="38">
        <f>Table1[[#This Row],[Lipid Free Weight with envelope]]-Table1[[#This Row],[Envelope+Staple weight]]</f>
        <v>0.46249999999999991</v>
      </c>
      <c r="R68" s="38">
        <f>Table1[[#This Row],[Insect_Weight]]-Table1[[#This Row],[Lipid_Free_Weight]]</f>
        <v>0.97150000000000025</v>
      </c>
    </row>
    <row r="69" spans="1:18" x14ac:dyDescent="0.25">
      <c r="A69" t="s">
        <v>33</v>
      </c>
      <c r="B69" s="7">
        <v>45819</v>
      </c>
      <c r="C69" s="8" t="s">
        <v>96</v>
      </c>
      <c r="D69" s="8" t="s">
        <v>101</v>
      </c>
      <c r="E69" s="8" t="str">
        <f>Table1[[#This Row],[Family]]&amp;Table1[[#This Row],[Size]]</f>
        <v>Noctuidae&gt;1</v>
      </c>
      <c r="F69" s="8" t="s">
        <v>107</v>
      </c>
      <c r="G69" s="8">
        <v>16</v>
      </c>
      <c r="H69" s="8">
        <v>0.65800000000000003</v>
      </c>
      <c r="I69" s="8">
        <v>2.2090000000000001</v>
      </c>
      <c r="J69" s="8">
        <f>Table1[[#This Row],[Bugs+Envelope Weight]]-Table1[[#This Row],[Envelope+Staple weight]]</f>
        <v>1.5510000000000002</v>
      </c>
      <c r="K69" s="25">
        <f>Table1[[#This Row],[Insect_Weight]]/Table1[[#This Row],[Quantity]]</f>
        <v>9.693750000000001E-2</v>
      </c>
      <c r="L69" s="8">
        <v>1.2370000000000001</v>
      </c>
      <c r="M69" s="8" t="b">
        <f t="shared" si="2"/>
        <v>1</v>
      </c>
      <c r="N69" s="8">
        <v>1.24</v>
      </c>
      <c r="O69" s="8">
        <f>Table1[[#This Row],[Dry_Weight_Final]]-Table1[[#This Row],[Envelope+Staple weight]]</f>
        <v>0.58199999999999996</v>
      </c>
      <c r="P69" s="10">
        <v>1.1301000000000001</v>
      </c>
      <c r="Q69" s="38">
        <f>Table1[[#This Row],[Lipid Free Weight with envelope]]-Table1[[#This Row],[Envelope+Staple weight]]</f>
        <v>0.47210000000000008</v>
      </c>
      <c r="R69" s="38">
        <f>Table1[[#This Row],[Insect_Weight]]-Table1[[#This Row],[Lipid_Free_Weight]]</f>
        <v>1.0789</v>
      </c>
    </row>
    <row r="70" spans="1:18" x14ac:dyDescent="0.25">
      <c r="A70" t="s">
        <v>33</v>
      </c>
      <c r="B70" s="7">
        <v>45819</v>
      </c>
      <c r="C70" s="8" t="s">
        <v>96</v>
      </c>
      <c r="D70" s="8" t="s">
        <v>18</v>
      </c>
      <c r="E70" s="8" t="str">
        <f>Table1[[#This Row],[Family]]&amp;Table1[[#This Row],[Size]]</f>
        <v>Notodontidae</v>
      </c>
      <c r="F70" s="8"/>
      <c r="G70" s="8">
        <v>15</v>
      </c>
      <c r="H70" s="8">
        <v>0.65700000000000003</v>
      </c>
      <c r="I70" s="8">
        <v>2.4359999999999999</v>
      </c>
      <c r="J70" s="8">
        <f>Table1[[#This Row],[Bugs+Envelope Weight]]-Table1[[#This Row],[Envelope+Staple weight]]</f>
        <v>1.7789999999999999</v>
      </c>
      <c r="K70" s="25">
        <f>Table1[[#This Row],[Insect_Weight]]/Table1[[#This Row],[Quantity]]</f>
        <v>0.1186</v>
      </c>
      <c r="L70" s="8">
        <v>1.345</v>
      </c>
      <c r="M70" s="8" t="b">
        <f t="shared" si="2"/>
        <v>1</v>
      </c>
      <c r="N70" s="8">
        <v>1.345</v>
      </c>
      <c r="O70" s="8">
        <f>Table1[[#This Row],[Dry_Weight_Final]]-Table1[[#This Row],[Envelope+Staple weight]]</f>
        <v>0.68799999999999994</v>
      </c>
      <c r="P70" s="10">
        <v>1.1521999999999999</v>
      </c>
      <c r="Q70" s="38">
        <f>Table1[[#This Row],[Lipid Free Weight with envelope]]-Table1[[#This Row],[Envelope+Staple weight]]</f>
        <v>0.49519999999999986</v>
      </c>
      <c r="R70" s="38">
        <f>Table1[[#This Row],[Insect_Weight]]-Table1[[#This Row],[Lipid_Free_Weight]]</f>
        <v>1.2838000000000001</v>
      </c>
    </row>
    <row r="71" spans="1:18" x14ac:dyDescent="0.25">
      <c r="A71" t="s">
        <v>46</v>
      </c>
      <c r="B71" s="7">
        <v>45840</v>
      </c>
      <c r="C71" s="8" t="s">
        <v>96</v>
      </c>
      <c r="D71" s="8" t="s">
        <v>109</v>
      </c>
      <c r="E71" s="8" t="str">
        <f>Table1[[#This Row],[Family]]&amp;Table1[[#This Row],[Size]]</f>
        <v>Erebidae&gt;1</v>
      </c>
      <c r="F71" s="8" t="s">
        <v>107</v>
      </c>
      <c r="G71" s="8">
        <v>20</v>
      </c>
      <c r="H71" s="8">
        <v>0.65700000000000003</v>
      </c>
      <c r="I71" s="8">
        <v>2.2400000000000002</v>
      </c>
      <c r="J71" s="8">
        <f>Table1[[#This Row],[Bugs+Envelope Weight]]-Table1[[#This Row],[Envelope+Staple weight]]</f>
        <v>1.5830000000000002</v>
      </c>
      <c r="K71" s="25">
        <f>Table1[[#This Row],[Insect_Weight]]/Table1[[#This Row],[Quantity]]</f>
        <v>7.9150000000000012E-2</v>
      </c>
      <c r="L71" s="8">
        <v>1.3089999999999999</v>
      </c>
      <c r="M71" s="8" t="b">
        <f t="shared" si="2"/>
        <v>1</v>
      </c>
      <c r="N71" s="8">
        <v>1.3069999999999999</v>
      </c>
      <c r="O71" s="8">
        <f>Table1[[#This Row],[Dry_Weight_Final]]-Table1[[#This Row],[Envelope+Staple weight]]</f>
        <v>0.64999999999999991</v>
      </c>
      <c r="P71" s="10">
        <v>1.1776</v>
      </c>
      <c r="Q71" s="38">
        <f>Table1[[#This Row],[Lipid Free Weight with envelope]]-Table1[[#This Row],[Envelope+Staple weight]]</f>
        <v>0.52059999999999995</v>
      </c>
      <c r="R71" s="38">
        <f>Table1[[#This Row],[Insect_Weight]]-Table1[[#This Row],[Lipid_Free_Weight]]</f>
        <v>1.0624000000000002</v>
      </c>
    </row>
    <row r="72" spans="1:18" x14ac:dyDescent="0.25">
      <c r="A72" t="s">
        <v>33</v>
      </c>
      <c r="B72" s="7">
        <v>45830</v>
      </c>
      <c r="C72" s="8" t="s">
        <v>96</v>
      </c>
      <c r="D72" s="8" t="s">
        <v>101</v>
      </c>
      <c r="E72" s="8" t="str">
        <f>Table1[[#This Row],[Family]]&amp;Table1[[#This Row],[Size]]</f>
        <v>Noctuidae&gt;1</v>
      </c>
      <c r="F72" s="8" t="s">
        <v>107</v>
      </c>
      <c r="G72" s="8">
        <v>22</v>
      </c>
      <c r="H72" s="8">
        <v>0.65800000000000003</v>
      </c>
      <c r="I72" s="8">
        <v>2.6829999999999998</v>
      </c>
      <c r="J72" s="8">
        <f>Table1[[#This Row],[Bugs+Envelope Weight]]-Table1[[#This Row],[Envelope+Staple weight]]</f>
        <v>2.0249999999999999</v>
      </c>
      <c r="K72" s="25">
        <f>Table1[[#This Row],[Insect_Weight]]/Table1[[#This Row],[Quantity]]</f>
        <v>9.2045454545454541E-2</v>
      </c>
      <c r="L72" s="8">
        <v>1.339</v>
      </c>
      <c r="M72" s="8" t="b">
        <f t="shared" si="2"/>
        <v>1</v>
      </c>
      <c r="N72" s="8">
        <v>1.3420000000000001</v>
      </c>
      <c r="O72" s="8">
        <f>Table1[[#This Row],[Dry_Weight_Final]]-Table1[[#This Row],[Envelope+Staple weight]]</f>
        <v>0.68400000000000005</v>
      </c>
      <c r="P72" s="10">
        <v>1.2116</v>
      </c>
      <c r="Q72" s="38">
        <f>Table1[[#This Row],[Lipid Free Weight with envelope]]-Table1[[#This Row],[Envelope+Staple weight]]</f>
        <v>0.55359999999999998</v>
      </c>
      <c r="R72" s="38">
        <f>Table1[[#This Row],[Insect_Weight]]-Table1[[#This Row],[Lipid_Free_Weight]]</f>
        <v>1.4714</v>
      </c>
    </row>
    <row r="73" spans="1:18" x14ac:dyDescent="0.25">
      <c r="A73" t="s">
        <v>46</v>
      </c>
      <c r="B73" s="7">
        <v>45852</v>
      </c>
      <c r="C73" s="8" t="s">
        <v>96</v>
      </c>
      <c r="D73" s="8" t="s">
        <v>101</v>
      </c>
      <c r="E73" s="8" t="str">
        <f>Table1[[#This Row],[Family]]&amp;Table1[[#This Row],[Size]]</f>
        <v>Noctuidae&gt;1</v>
      </c>
      <c r="F73" s="8" t="s">
        <v>107</v>
      </c>
      <c r="G73" s="8">
        <v>15</v>
      </c>
      <c r="H73" s="8">
        <v>0.66400000000000003</v>
      </c>
      <c r="I73" s="8">
        <v>2.5259999999999998</v>
      </c>
      <c r="J73" s="8">
        <f>Table1[[#This Row],[Bugs+Envelope Weight]]-Table1[[#This Row],[Envelope+Staple weight]]</f>
        <v>1.8619999999999997</v>
      </c>
      <c r="K73" s="25">
        <f>Table1[[#This Row],[Insect_Weight]]/Table1[[#This Row],[Quantity]]</f>
        <v>0.1241333333333333</v>
      </c>
      <c r="L73" s="8">
        <v>1.3260000000000001</v>
      </c>
      <c r="M73" s="8" t="b">
        <f t="shared" si="2"/>
        <v>1</v>
      </c>
      <c r="N73" s="8">
        <v>1.329</v>
      </c>
      <c r="O73" s="8">
        <f>Table1[[#This Row],[Dry_Weight_Final]]-Table1[[#This Row],[Envelope+Staple weight]]</f>
        <v>0.66499999999999992</v>
      </c>
      <c r="P73" s="10">
        <v>1.266</v>
      </c>
      <c r="Q73" s="38">
        <f>Table1[[#This Row],[Lipid Free Weight with envelope]]-Table1[[#This Row],[Envelope+Staple weight]]</f>
        <v>0.60199999999999998</v>
      </c>
      <c r="R73" s="38">
        <f>Table1[[#This Row],[Insect_Weight]]-Table1[[#This Row],[Lipid_Free_Weight]]</f>
        <v>1.2599999999999998</v>
      </c>
    </row>
    <row r="74" spans="1:18" x14ac:dyDescent="0.25">
      <c r="A74" t="s">
        <v>33</v>
      </c>
      <c r="B74" s="7">
        <v>45830</v>
      </c>
      <c r="C74" s="8" t="s">
        <v>96</v>
      </c>
      <c r="D74" s="8" t="s">
        <v>109</v>
      </c>
      <c r="E74" s="8" t="str">
        <f>Table1[[#This Row],[Family]]&amp;Table1[[#This Row],[Size]]</f>
        <v>Erebidae&gt;1</v>
      </c>
      <c r="F74" s="8" t="s">
        <v>107</v>
      </c>
      <c r="G74" s="8">
        <v>13</v>
      </c>
      <c r="H74" s="8">
        <v>0.66800000000000004</v>
      </c>
      <c r="I74" s="8">
        <v>2.851</v>
      </c>
      <c r="J74" s="8">
        <f>Table1[[#This Row],[Bugs+Envelope Weight]]-Table1[[#This Row],[Envelope+Staple weight]]</f>
        <v>2.1829999999999998</v>
      </c>
      <c r="K74" s="25">
        <f>Table1[[#This Row],[Insect_Weight]]/Table1[[#This Row],[Quantity]]</f>
        <v>0.1679230769230769</v>
      </c>
      <c r="L74" s="8">
        <v>1.472</v>
      </c>
      <c r="M74" s="8" t="b">
        <f t="shared" si="2"/>
        <v>1</v>
      </c>
      <c r="N74" s="8">
        <v>1.472</v>
      </c>
      <c r="O74" s="8">
        <f>Table1[[#This Row],[Dry_Weight_Final]]-Table1[[#This Row],[Envelope+Staple weight]]</f>
        <v>0.80399999999999994</v>
      </c>
      <c r="P74" s="10">
        <v>1.3057000000000001</v>
      </c>
      <c r="Q74" s="38">
        <f>Table1[[#This Row],[Lipid Free Weight with envelope]]-Table1[[#This Row],[Envelope+Staple weight]]</f>
        <v>0.63770000000000004</v>
      </c>
      <c r="R74" s="38">
        <f>Table1[[#This Row],[Insect_Weight]]-Table1[[#This Row],[Lipid_Free_Weight]]</f>
        <v>1.5452999999999997</v>
      </c>
    </row>
    <row r="75" spans="1:18" x14ac:dyDescent="0.25">
      <c r="A75" t="s">
        <v>46</v>
      </c>
      <c r="B75" s="7">
        <v>45840</v>
      </c>
      <c r="C75" s="8" t="s">
        <v>96</v>
      </c>
      <c r="D75" s="8" t="s">
        <v>101</v>
      </c>
      <c r="E75" s="8" t="str">
        <f>Table1[[#This Row],[Family]]&amp;Table1[[#This Row],[Size]]</f>
        <v>Noctuidae&gt;1</v>
      </c>
      <c r="F75" s="8" t="s">
        <v>107</v>
      </c>
      <c r="G75" s="8">
        <v>21</v>
      </c>
      <c r="H75" s="8">
        <v>0.64800000000000002</v>
      </c>
      <c r="I75" s="8">
        <v>2.9209999999999998</v>
      </c>
      <c r="J75" s="8">
        <f>Table1[[#This Row],[Bugs+Envelope Weight]]-Table1[[#This Row],[Envelope+Staple weight]]</f>
        <v>2.2729999999999997</v>
      </c>
      <c r="K75" s="25">
        <f>Table1[[#This Row],[Insect_Weight]]/Table1[[#This Row],[Quantity]]</f>
        <v>0.10823809523809522</v>
      </c>
      <c r="L75" s="8">
        <v>1.462</v>
      </c>
      <c r="M75" s="8" t="b">
        <f t="shared" si="2"/>
        <v>1</v>
      </c>
      <c r="N75" s="8">
        <v>1.456</v>
      </c>
      <c r="O75" s="8">
        <f>Table1[[#This Row],[Dry_Weight_Final]]-Table1[[#This Row],[Envelope+Staple weight]]</f>
        <v>0.80799999999999994</v>
      </c>
      <c r="P75" s="10">
        <v>1.3057000000000001</v>
      </c>
      <c r="Q75" s="38">
        <f>Table1[[#This Row],[Lipid Free Weight with envelope]]-Table1[[#This Row],[Envelope+Staple weight]]</f>
        <v>0.65770000000000006</v>
      </c>
      <c r="R75" s="38">
        <f>Table1[[#This Row],[Insect_Weight]]-Table1[[#This Row],[Lipid_Free_Weight]]</f>
        <v>1.6152999999999995</v>
      </c>
    </row>
    <row r="76" spans="1:18" x14ac:dyDescent="0.25">
      <c r="A76" t="s">
        <v>46</v>
      </c>
      <c r="B76" s="7">
        <v>45852</v>
      </c>
      <c r="C76" s="8" t="s">
        <v>105</v>
      </c>
      <c r="D76" s="8" t="s">
        <v>29</v>
      </c>
      <c r="E76" s="8" t="str">
        <f>Table1[[#This Row],[Family]]&amp;Table1[[#This Row],[Size]]</f>
        <v>Silphidae</v>
      </c>
      <c r="F76" s="8"/>
      <c r="G76" s="8">
        <v>5</v>
      </c>
      <c r="H76" s="8">
        <v>0.66900000000000004</v>
      </c>
      <c r="I76" s="8">
        <v>2.456</v>
      </c>
      <c r="J76" s="8">
        <f>Table1[[#This Row],[Bugs+Envelope Weight]]-Table1[[#This Row],[Envelope+Staple weight]]</f>
        <v>1.7869999999999999</v>
      </c>
      <c r="K76" s="25">
        <f>Table1[[#This Row],[Insect_Weight]]/Table1[[#This Row],[Quantity]]</f>
        <v>0.3574</v>
      </c>
      <c r="L76" s="8">
        <v>1.423</v>
      </c>
      <c r="M76" s="8" t="b">
        <f t="shared" si="2"/>
        <v>1</v>
      </c>
      <c r="N76" s="8">
        <v>1.42</v>
      </c>
      <c r="O76" s="8">
        <f>Table1[[#This Row],[Dry_Weight_Final]]-Table1[[#This Row],[Envelope+Staple weight]]</f>
        <v>0.75099999999999989</v>
      </c>
      <c r="P76" s="10">
        <v>1.3371</v>
      </c>
      <c r="Q76" s="38">
        <f>Table1[[#This Row],[Lipid Free Weight with envelope]]-Table1[[#This Row],[Envelope+Staple weight]]</f>
        <v>0.66809999999999992</v>
      </c>
      <c r="R76" s="38">
        <f>Table1[[#This Row],[Insect_Weight]]-Table1[[#This Row],[Lipid_Free_Weight]]</f>
        <v>1.1189</v>
      </c>
    </row>
    <row r="77" spans="1:18" x14ac:dyDescent="0.25">
      <c r="A77" t="s">
        <v>46</v>
      </c>
      <c r="B77" s="7">
        <v>45863</v>
      </c>
      <c r="C77" s="8" t="s">
        <v>96</v>
      </c>
      <c r="D77" s="8" t="s">
        <v>101</v>
      </c>
      <c r="E77" s="8" t="str">
        <f>Table1[[#This Row],[Family]]&amp;Table1[[#This Row],[Size]]</f>
        <v>Noctuidae&gt;1</v>
      </c>
      <c r="F77" s="8" t="s">
        <v>107</v>
      </c>
      <c r="G77" s="8">
        <v>64</v>
      </c>
      <c r="H77" s="8">
        <v>0.66300000000000003</v>
      </c>
      <c r="I77" s="8">
        <v>2.6669999999999998</v>
      </c>
      <c r="J77" s="8">
        <f>Table1[[#This Row],[Bugs+Envelope Weight]]-Table1[[#This Row],[Envelope+Staple weight]]</f>
        <v>2.0039999999999996</v>
      </c>
      <c r="K77" s="25">
        <f>Table1[[#This Row],[Insect_Weight]]/Table1[[#This Row],[Quantity]]</f>
        <v>3.1312499999999993E-2</v>
      </c>
      <c r="L77" s="8">
        <v>1.419</v>
      </c>
      <c r="M77" s="8" t="b">
        <f t="shared" si="2"/>
        <v>1</v>
      </c>
      <c r="N77" s="8">
        <v>1.4219999999999999</v>
      </c>
      <c r="O77" s="38">
        <f>Table1[[#This Row],[Dry_Weight_Final]]-Table1[[#This Row],[Envelope+Staple weight]]</f>
        <v>0.7589999999999999</v>
      </c>
      <c r="P77" s="36">
        <v>1.3129999999999999</v>
      </c>
      <c r="Q77" s="42">
        <f>Table1[[#This Row],[Lipid Free Weight with envelope]]-Table1[[#This Row],[Envelope+Staple weight]]</f>
        <v>0.64999999999999991</v>
      </c>
      <c r="R77" s="42">
        <f>Table1[[#This Row],[Insect_Weight]]-Table1[[#This Row],[Lipid_Free_Weight]]</f>
        <v>1.3539999999999996</v>
      </c>
    </row>
    <row r="78" spans="1:18" x14ac:dyDescent="0.25">
      <c r="A78" t="s">
        <v>46</v>
      </c>
      <c r="B78" s="7">
        <v>45840</v>
      </c>
      <c r="C78" s="8" t="s">
        <v>103</v>
      </c>
      <c r="D78" s="8" t="s">
        <v>1</v>
      </c>
      <c r="E78" s="8" t="str">
        <f>Table1[[#This Row],[Family]]&amp;Table1[[#This Row],[Size]]</f>
        <v>Brachycera</v>
      </c>
      <c r="F78" s="8"/>
      <c r="G78" s="8">
        <v>382</v>
      </c>
      <c r="H78" s="8">
        <v>0.66100000000000003</v>
      </c>
      <c r="I78" s="8">
        <v>0.90800000000000003</v>
      </c>
      <c r="J78" s="8">
        <f>Table1[[#This Row],[Bugs+Envelope Weight]]-Table1[[#This Row],[Envelope+Staple weight]]</f>
        <v>0.247</v>
      </c>
      <c r="K78" s="25">
        <f>Table1[[#This Row],[Insect_Weight]]/Table1[[#This Row],[Quantity]]</f>
        <v>6.4659685863874348E-4</v>
      </c>
      <c r="L78" s="8">
        <v>0.77200000000000002</v>
      </c>
      <c r="M78" s="8" t="b">
        <f t="shared" si="2"/>
        <v>1</v>
      </c>
      <c r="N78" s="8">
        <v>0.77300000000000002</v>
      </c>
      <c r="O78" s="8">
        <f>Table1[[#This Row],[Dry_Weight_Final]]-Table1[[#This Row],[Envelope+Staple weight]]</f>
        <v>0.11199999999999999</v>
      </c>
      <c r="P78" s="10">
        <v>0.754</v>
      </c>
      <c r="Q78" s="38">
        <f>Table1[[#This Row],[Lipid Free Weight with envelope]]-Table1[[#This Row],[Envelope+Staple weight]]</f>
        <v>9.2999999999999972E-2</v>
      </c>
      <c r="R78" s="38">
        <f>Table1[[#This Row],[Insect_Weight]]-Table1[[#This Row],[Lipid_Free_Weight]]</f>
        <v>0.15400000000000003</v>
      </c>
    </row>
    <row r="79" spans="1:18" x14ac:dyDescent="0.25">
      <c r="A79" t="s">
        <v>46</v>
      </c>
      <c r="B79" s="7">
        <v>45840</v>
      </c>
      <c r="C79" s="8" t="s">
        <v>108</v>
      </c>
      <c r="D79" s="8" t="s">
        <v>21</v>
      </c>
      <c r="E79" s="38" t="str">
        <f>Table1[[#This Row],[Family]]&amp;Table1[[#This Row],[Size]]</f>
        <v>Leptoceridae</v>
      </c>
      <c r="F79" s="9"/>
      <c r="G79" s="8">
        <v>96</v>
      </c>
      <c r="H79" s="8">
        <v>0.66700000000000004</v>
      </c>
      <c r="I79" s="8">
        <v>0.94299999999999995</v>
      </c>
      <c r="J79" s="8">
        <f>Table1[[#This Row],[Bugs+Envelope Weight]]-Table1[[#This Row],[Envelope+Staple weight]]</f>
        <v>0.27599999999999991</v>
      </c>
      <c r="K79" s="25">
        <f>Table1[[#This Row],[Insect_Weight]]/Table1[[#This Row],[Quantity]]</f>
        <v>2.8749999999999991E-3</v>
      </c>
      <c r="L79" s="8">
        <v>0.79500000000000004</v>
      </c>
      <c r="M79" s="8" t="b">
        <f t="shared" si="2"/>
        <v>1</v>
      </c>
      <c r="N79" s="8">
        <v>0.79200000000000004</v>
      </c>
      <c r="O79" s="8">
        <f>Table1[[#This Row],[Dry_Weight_Final]]-Table1[[#This Row],[Envelope+Staple weight]]</f>
        <v>0.125</v>
      </c>
      <c r="P79" s="10">
        <v>0.78</v>
      </c>
      <c r="Q79" s="38">
        <f>Table1[[#This Row],[Lipid Free Weight with envelope]]-Table1[[#This Row],[Envelope+Staple weight]]</f>
        <v>0.11299999999999999</v>
      </c>
      <c r="R79" s="38">
        <f>Table1[[#This Row],[Insect_Weight]]-Table1[[#This Row],[Lipid_Free_Weight]]</f>
        <v>0.16299999999999992</v>
      </c>
    </row>
    <row r="80" spans="1:18" x14ac:dyDescent="0.25">
      <c r="A80" t="s">
        <v>46</v>
      </c>
      <c r="B80" s="7">
        <v>45840</v>
      </c>
      <c r="C80" s="8" t="s">
        <v>96</v>
      </c>
      <c r="D80" s="8" t="s">
        <v>97</v>
      </c>
      <c r="E80" s="8" t="str">
        <f>Table1[[#This Row],[Family]]&amp;Table1[[#This Row],[Size]]</f>
        <v>Geometridae&lt;1</v>
      </c>
      <c r="F80" s="8" t="s">
        <v>98</v>
      </c>
      <c r="G80" s="8">
        <v>44</v>
      </c>
      <c r="H80" s="8">
        <v>0.65400000000000003</v>
      </c>
      <c r="I80" s="8">
        <v>0.98899999999999999</v>
      </c>
      <c r="J80" s="8">
        <f>Table1[[#This Row],[Bugs+Envelope Weight]]-Table1[[#This Row],[Envelope+Staple weight]]</f>
        <v>0.33499999999999996</v>
      </c>
      <c r="K80" s="25">
        <f>Table1[[#This Row],[Insect_Weight]]/Table1[[#This Row],[Quantity]]</f>
        <v>7.6136363636363632E-3</v>
      </c>
      <c r="L80" s="8">
        <v>0.81599999999999995</v>
      </c>
      <c r="M80" s="8" t="b">
        <f t="shared" si="2"/>
        <v>1</v>
      </c>
      <c r="N80" s="8">
        <v>0.82</v>
      </c>
      <c r="O80" s="8">
        <f>Table1[[#This Row],[Dry_Weight_Final]]-Table1[[#This Row],[Envelope+Staple weight]]</f>
        <v>0.16599999999999993</v>
      </c>
      <c r="P80" s="10">
        <v>0.79200000000000004</v>
      </c>
      <c r="Q80" s="38">
        <f>Table1[[#This Row],[Lipid Free Weight with envelope]]-Table1[[#This Row],[Envelope+Staple weight]]</f>
        <v>0.13800000000000001</v>
      </c>
      <c r="R80" s="38">
        <f>Table1[[#This Row],[Insect_Weight]]-Table1[[#This Row],[Lipid_Free_Weight]]</f>
        <v>0.19699999999999995</v>
      </c>
    </row>
    <row r="81" spans="1:18" x14ac:dyDescent="0.25">
      <c r="A81" t="s">
        <v>46</v>
      </c>
      <c r="B81" s="7">
        <v>45840</v>
      </c>
      <c r="C81" s="8" t="s">
        <v>96</v>
      </c>
      <c r="D81" s="8" t="s">
        <v>109</v>
      </c>
      <c r="E81" s="38" t="str">
        <f>Table1[[#This Row],[Family]]&amp;Table1[[#This Row],[Size]]</f>
        <v>Erebidae&lt;1</v>
      </c>
      <c r="F81" s="9" t="s">
        <v>98</v>
      </c>
      <c r="G81" s="8">
        <v>14</v>
      </c>
      <c r="H81" s="8">
        <v>0.65800000000000003</v>
      </c>
      <c r="I81" s="8">
        <v>0.76200000000000001</v>
      </c>
      <c r="J81" s="8">
        <f>Table1[[#This Row],[Bugs+Envelope Weight]]-Table1[[#This Row],[Envelope+Staple weight]]</f>
        <v>0.10399999999999998</v>
      </c>
      <c r="K81" s="25">
        <f>Table1[[#This Row],[Insect_Weight]]/Table1[[#This Row],[Quantity]]</f>
        <v>7.4285714285714276E-3</v>
      </c>
      <c r="L81" s="8">
        <v>0.68</v>
      </c>
      <c r="M81" s="8" t="b">
        <f t="shared" si="2"/>
        <v>1</v>
      </c>
      <c r="N81" s="8">
        <v>0.68</v>
      </c>
      <c r="O81" s="8">
        <f>Table1[[#This Row],[Dry_Weight_Final]]-Table1[[#This Row],[Envelope+Staple weight]]</f>
        <v>2.200000000000002E-2</v>
      </c>
      <c r="P81" s="10">
        <v>0.67300000000000004</v>
      </c>
      <c r="Q81" s="38">
        <f>Table1[[#This Row],[Lipid Free Weight with envelope]]-Table1[[#This Row],[Envelope+Staple weight]]</f>
        <v>1.5000000000000013E-2</v>
      </c>
      <c r="R81" s="38">
        <f>Table1[[#This Row],[Insect_Weight]]-Table1[[#This Row],[Lipid_Free_Weight]]</f>
        <v>8.8999999999999968E-2</v>
      </c>
    </row>
    <row r="82" spans="1:18" x14ac:dyDescent="0.25">
      <c r="A82" t="s">
        <v>46</v>
      </c>
      <c r="B82" s="7">
        <v>45840</v>
      </c>
      <c r="C82" s="8" t="s">
        <v>96</v>
      </c>
      <c r="D82" s="8" t="s">
        <v>117</v>
      </c>
      <c r="E82" s="8" t="str">
        <f>Table1[[#This Row],[Family]]&amp;Table1[[#This Row],[Size]]</f>
        <v>Tortricidae&gt;1</v>
      </c>
      <c r="F82" s="8" t="s">
        <v>107</v>
      </c>
      <c r="G82" s="8">
        <v>30</v>
      </c>
      <c r="H82" s="8">
        <v>0.66900000000000004</v>
      </c>
      <c r="I82" s="8">
        <v>1.341</v>
      </c>
      <c r="J82" s="8">
        <f>Table1[[#This Row],[Bugs+Envelope Weight]]-Table1[[#This Row],[Envelope+Staple weight]]</f>
        <v>0.67199999999999993</v>
      </c>
      <c r="K82" s="25">
        <f>Table1[[#This Row],[Insect_Weight]]/Table1[[#This Row],[Quantity]]</f>
        <v>2.2399999999999996E-2</v>
      </c>
      <c r="L82" s="8">
        <v>0.93400000000000005</v>
      </c>
      <c r="M82" s="8" t="b">
        <f t="shared" si="2"/>
        <v>1</v>
      </c>
      <c r="N82" s="8">
        <v>0.93100000000000005</v>
      </c>
      <c r="O82" s="8">
        <f>Table1[[#This Row],[Dry_Weight_Final]]-Table1[[#This Row],[Envelope+Staple weight]]</f>
        <v>0.26200000000000001</v>
      </c>
      <c r="P82" s="10">
        <v>0.879</v>
      </c>
      <c r="Q82" s="38">
        <f>Table1[[#This Row],[Lipid Free Weight with envelope]]-Table1[[#This Row],[Envelope+Staple weight]]</f>
        <v>0.20999999999999996</v>
      </c>
      <c r="R82" s="38">
        <f>Table1[[#This Row],[Insect_Weight]]-Table1[[#This Row],[Lipid_Free_Weight]]</f>
        <v>0.46199999999999997</v>
      </c>
    </row>
    <row r="83" spans="1:18" x14ac:dyDescent="0.25">
      <c r="A83" t="s">
        <v>46</v>
      </c>
      <c r="B83" s="7">
        <v>45852</v>
      </c>
      <c r="C83" s="8" t="s">
        <v>108</v>
      </c>
      <c r="D83" s="8" t="s">
        <v>21</v>
      </c>
      <c r="E83" s="38" t="str">
        <f>Table1[[#This Row],[Family]]&amp;Table1[[#This Row],[Size]]</f>
        <v>Leptoceridae</v>
      </c>
      <c r="F83" s="9"/>
      <c r="G83" s="8">
        <v>112</v>
      </c>
      <c r="H83" s="8">
        <v>0.67800000000000005</v>
      </c>
      <c r="I83" s="8">
        <v>0.85199999999999998</v>
      </c>
      <c r="J83" s="8">
        <f>Table1[[#This Row],[Bugs+Envelope Weight]]-Table1[[#This Row],[Envelope+Staple weight]]</f>
        <v>0.17399999999999993</v>
      </c>
      <c r="K83" s="25">
        <f>Table1[[#This Row],[Insect_Weight]]/Table1[[#This Row],[Quantity]]</f>
        <v>1.553571428571428E-3</v>
      </c>
      <c r="L83" s="8">
        <v>0.73499999999999999</v>
      </c>
      <c r="M83" s="8" t="b">
        <f t="shared" si="2"/>
        <v>1</v>
      </c>
      <c r="N83" s="8">
        <v>0.73499999999999999</v>
      </c>
      <c r="O83" s="8">
        <f>Table1[[#This Row],[Dry_Weight_Final]]-Table1[[#This Row],[Envelope+Staple weight]]</f>
        <v>5.699999999999994E-2</v>
      </c>
      <c r="P83" s="10">
        <v>0.73</v>
      </c>
      <c r="Q83" s="38">
        <f>Table1[[#This Row],[Lipid Free Weight with envelope]]-Table1[[#This Row],[Envelope+Staple weight]]</f>
        <v>5.1999999999999935E-2</v>
      </c>
      <c r="R83" s="38">
        <f>Table1[[#This Row],[Insect_Weight]]-Table1[[#This Row],[Lipid_Free_Weight]]</f>
        <v>0.122</v>
      </c>
    </row>
    <row r="84" spans="1:18" x14ac:dyDescent="0.25">
      <c r="A84" t="s">
        <v>46</v>
      </c>
      <c r="B84" s="7">
        <v>45840</v>
      </c>
      <c r="C84" s="8" t="s">
        <v>108</v>
      </c>
      <c r="D84" s="8" t="s">
        <v>23</v>
      </c>
      <c r="E84" s="38" t="str">
        <f>Table1[[#This Row],[Family]]&amp;Table1[[#This Row],[Size]]</f>
        <v>Phryganeidae</v>
      </c>
      <c r="F84" s="9"/>
      <c r="G84" s="8">
        <v>16</v>
      </c>
      <c r="H84" s="8">
        <v>0.66900000000000004</v>
      </c>
      <c r="I84" s="8">
        <v>1.3049999999999999</v>
      </c>
      <c r="J84" s="8">
        <f>Table1[[#This Row],[Bugs+Envelope Weight]]-Table1[[#This Row],[Envelope+Staple weight]]</f>
        <v>0.6359999999999999</v>
      </c>
      <c r="K84" s="25">
        <f>Table1[[#This Row],[Insect_Weight]]/Table1[[#This Row],[Quantity]]</f>
        <v>3.9749999999999994E-2</v>
      </c>
      <c r="L84" s="8">
        <v>0.90500000000000003</v>
      </c>
      <c r="M84" s="8" t="b">
        <f t="shared" si="2"/>
        <v>1</v>
      </c>
      <c r="N84" s="8">
        <v>0.90400000000000003</v>
      </c>
      <c r="O84" s="38">
        <f>Table1[[#This Row],[Dry_Weight_Final]]-Table1[[#This Row],[Envelope+Staple weight]]</f>
        <v>0.23499999999999999</v>
      </c>
      <c r="P84" s="35">
        <v>0.86599999999999999</v>
      </c>
      <c r="Q84" s="41">
        <f>Table1[[#This Row],[Lipid Free Weight with envelope]]-Table1[[#This Row],[Envelope+Staple weight]]</f>
        <v>0.19699999999999995</v>
      </c>
      <c r="R84" s="41">
        <f>Table1[[#This Row],[Insect_Weight]]-Table1[[#This Row],[Lipid_Free_Weight]]</f>
        <v>0.43899999999999995</v>
      </c>
    </row>
    <row r="85" spans="1:18" x14ac:dyDescent="0.25">
      <c r="A85" t="s">
        <v>46</v>
      </c>
      <c r="B85" s="7">
        <v>45863</v>
      </c>
      <c r="C85" s="8" t="s">
        <v>96</v>
      </c>
      <c r="D85" s="8" t="s">
        <v>100</v>
      </c>
      <c r="E85" s="8" t="str">
        <f>Table1[[#This Row],[Family]]&amp;Table1[[#This Row],[Size]]</f>
        <v>Crambidae&lt;1</v>
      </c>
      <c r="F85" s="8" t="s">
        <v>98</v>
      </c>
      <c r="G85" s="8">
        <v>96</v>
      </c>
      <c r="H85" s="8">
        <v>0.66800000000000004</v>
      </c>
      <c r="I85" s="8">
        <v>1.052</v>
      </c>
      <c r="J85" s="8">
        <f>Table1[[#This Row],[Bugs+Envelope Weight]]-Table1[[#This Row],[Envelope+Staple weight]]</f>
        <v>0.38400000000000001</v>
      </c>
      <c r="K85" s="25">
        <f>Table1[[#This Row],[Insect_Weight]]/Table1[[#This Row],[Quantity]]</f>
        <v>4.0000000000000001E-3</v>
      </c>
      <c r="L85" s="8">
        <v>0.82699999999999996</v>
      </c>
      <c r="M85" s="8" t="b">
        <f t="shared" si="2"/>
        <v>1</v>
      </c>
      <c r="N85" s="8">
        <v>0.82699999999999996</v>
      </c>
      <c r="O85" s="8">
        <f>Table1[[#This Row],[Dry_Weight_Final]]-Table1[[#This Row],[Envelope+Staple weight]]</f>
        <v>0.15899999999999992</v>
      </c>
      <c r="P85" s="10">
        <v>0.79</v>
      </c>
      <c r="Q85" s="38">
        <f>Table1[[#This Row],[Lipid Free Weight with envelope]]-Table1[[#This Row],[Envelope+Staple weight]]</f>
        <v>0.122</v>
      </c>
      <c r="R85" s="38">
        <f>Table1[[#This Row],[Insect_Weight]]-Table1[[#This Row],[Lipid_Free_Weight]]</f>
        <v>0.26200000000000001</v>
      </c>
    </row>
    <row r="86" spans="1:18" x14ac:dyDescent="0.25">
      <c r="A86" t="s">
        <v>46</v>
      </c>
      <c r="B86" s="7">
        <v>45852</v>
      </c>
      <c r="C86" s="8" t="s">
        <v>96</v>
      </c>
      <c r="D86" s="8" t="s">
        <v>109</v>
      </c>
      <c r="E86" s="8" t="str">
        <f>Table1[[#This Row],[Family]]&amp;Table1[[#This Row],[Size]]</f>
        <v>Erebidae&lt;1</v>
      </c>
      <c r="F86" s="8" t="s">
        <v>98</v>
      </c>
      <c r="G86" s="8">
        <v>16</v>
      </c>
      <c r="H86" s="8">
        <v>0.67</v>
      </c>
      <c r="I86" s="8">
        <v>0.88900000000000001</v>
      </c>
      <c r="J86" s="8">
        <f>Table1[[#This Row],[Bugs+Envelope Weight]]-Table1[[#This Row],[Envelope+Staple weight]]</f>
        <v>0.21899999999999997</v>
      </c>
      <c r="K86" s="25">
        <f>Table1[[#This Row],[Insect_Weight]]/Table1[[#This Row],[Quantity]]</f>
        <v>1.3687499999999998E-2</v>
      </c>
      <c r="L86" s="8">
        <v>0.73599999999999999</v>
      </c>
      <c r="M86" s="8" t="b">
        <f t="shared" si="2"/>
        <v>1</v>
      </c>
      <c r="N86" s="8">
        <v>0.73599999999999999</v>
      </c>
      <c r="O86" s="8">
        <f>Table1[[#This Row],[Dry_Weight_Final]]-Table1[[#This Row],[Envelope+Staple weight]]</f>
        <v>6.5999999999999948E-2</v>
      </c>
      <c r="P86" s="10">
        <v>0.72799999999999998</v>
      </c>
      <c r="Q86" s="38">
        <f>Table1[[#This Row],[Lipid Free Weight with envelope]]-Table1[[#This Row],[Envelope+Staple weight]]</f>
        <v>5.799999999999994E-2</v>
      </c>
      <c r="R86" s="38">
        <f>Table1[[#This Row],[Insect_Weight]]-Table1[[#This Row],[Lipid_Free_Weight]]</f>
        <v>0.16100000000000003</v>
      </c>
    </row>
    <row r="87" spans="1:18" x14ac:dyDescent="0.25">
      <c r="A87" t="s">
        <v>46</v>
      </c>
      <c r="B87" s="7">
        <v>45840</v>
      </c>
      <c r="C87" s="8" t="s">
        <v>112</v>
      </c>
      <c r="D87" s="8" t="s">
        <v>25</v>
      </c>
      <c r="E87" s="8" t="str">
        <f>Table1[[#This Row],[Family]]&amp;Table1[[#This Row],[Size]]</f>
        <v>Caenidae</v>
      </c>
      <c r="F87" s="8"/>
      <c r="G87" s="8">
        <v>625</v>
      </c>
      <c r="H87" s="8">
        <v>0.65800000000000003</v>
      </c>
      <c r="I87" s="8">
        <v>0.81399999999999995</v>
      </c>
      <c r="J87" s="8">
        <f>Table1[[#This Row],[Bugs+Envelope Weight]]-Table1[[#This Row],[Envelope+Staple weight]]</f>
        <v>0.15599999999999992</v>
      </c>
      <c r="K87" s="25">
        <f>Table1[[#This Row],[Insect_Weight]]/Table1[[#This Row],[Quantity]]</f>
        <v>2.4959999999999989E-4</v>
      </c>
      <c r="L87" s="8">
        <v>0.755</v>
      </c>
      <c r="M87" s="8" t="b">
        <f t="shared" si="2"/>
        <v>1</v>
      </c>
      <c r="N87" s="8">
        <v>0.755</v>
      </c>
      <c r="O87" s="8">
        <f>Table1[[#This Row],[Dry_Weight_Final]]-Table1[[#This Row],[Envelope+Staple weight]]</f>
        <v>9.6999999999999975E-2</v>
      </c>
      <c r="P87" s="10">
        <v>0.74299999999999999</v>
      </c>
      <c r="Q87" s="38">
        <f>Table1[[#This Row],[Lipid Free Weight with envelope]]-Table1[[#This Row],[Envelope+Staple weight]]</f>
        <v>8.4999999999999964E-2</v>
      </c>
      <c r="R87" s="38">
        <f>Table1[[#This Row],[Insect_Weight]]-Table1[[#This Row],[Lipid_Free_Weight]]</f>
        <v>7.0999999999999952E-2</v>
      </c>
    </row>
    <row r="88" spans="1:18" x14ac:dyDescent="0.25">
      <c r="A88" t="s">
        <v>46</v>
      </c>
      <c r="B88" s="7">
        <v>45863</v>
      </c>
      <c r="C88" s="8" t="s">
        <v>96</v>
      </c>
      <c r="D88" s="8" t="s">
        <v>109</v>
      </c>
      <c r="E88" s="8" t="str">
        <f>Table1[[#This Row],[Family]]&amp;Table1[[#This Row],[Size]]</f>
        <v>Erebidae&gt;1</v>
      </c>
      <c r="F88" s="8" t="s">
        <v>107</v>
      </c>
      <c r="G88" s="8">
        <v>22</v>
      </c>
      <c r="H88" s="8">
        <v>0.67100000000000004</v>
      </c>
      <c r="I88" s="8">
        <v>1.974</v>
      </c>
      <c r="J88" s="8">
        <f>Table1[[#This Row],[Bugs+Envelope Weight]]-Table1[[#This Row],[Envelope+Staple weight]]</f>
        <v>1.3029999999999999</v>
      </c>
      <c r="K88" s="25">
        <f>Table1[[#This Row],[Insect_Weight]]/Table1[[#This Row],[Quantity]]</f>
        <v>5.9227272727272726E-2</v>
      </c>
      <c r="L88" s="8">
        <v>1.137</v>
      </c>
      <c r="M88" s="8" t="b">
        <f t="shared" si="2"/>
        <v>1</v>
      </c>
      <c r="N88" s="8">
        <v>1.1359999999999999</v>
      </c>
      <c r="O88" s="8">
        <f>Table1[[#This Row],[Dry_Weight_Final]]-Table1[[#This Row],[Envelope+Staple weight]]</f>
        <v>0.46499999999999986</v>
      </c>
      <c r="P88" s="10">
        <v>1.0629999999999999</v>
      </c>
      <c r="Q88" s="38">
        <f>Table1[[#This Row],[Lipid Free Weight with envelope]]-Table1[[#This Row],[Envelope+Staple weight]]</f>
        <v>0.3919999999999999</v>
      </c>
      <c r="R88" s="38">
        <f>Table1[[#This Row],[Insect_Weight]]-Table1[[#This Row],[Lipid_Free_Weight]]</f>
        <v>0.91100000000000003</v>
      </c>
    </row>
    <row r="89" spans="1:18" x14ac:dyDescent="0.25">
      <c r="A89" t="s">
        <v>46</v>
      </c>
      <c r="B89" s="7">
        <v>45840</v>
      </c>
      <c r="C89" s="8" t="s">
        <v>105</v>
      </c>
      <c r="D89" s="8" t="s">
        <v>116</v>
      </c>
      <c r="E89" s="8" t="str">
        <f>Table1[[#This Row],[Family]]&amp;Table1[[#This Row],[Size]]</f>
        <v>Staphylinidae</v>
      </c>
      <c r="F89" s="8"/>
      <c r="G89" s="8">
        <v>57</v>
      </c>
      <c r="H89" s="8">
        <v>0.66200000000000003</v>
      </c>
      <c r="I89" s="8">
        <v>0.77500000000000002</v>
      </c>
      <c r="J89" s="8">
        <f>Table1[[#This Row],[Bugs+Envelope Weight]]-Table1[[#This Row],[Envelope+Staple weight]]</f>
        <v>0.11299999999999999</v>
      </c>
      <c r="K89" s="25">
        <f>Table1[[#This Row],[Insect_Weight]]/Table1[[#This Row],[Quantity]]</f>
        <v>1.9824561403508768E-3</v>
      </c>
      <c r="L89" s="8">
        <v>0.68799999999999994</v>
      </c>
      <c r="M89" s="8" t="b">
        <f t="shared" si="2"/>
        <v>1</v>
      </c>
      <c r="N89" s="8">
        <v>0.68799999999999994</v>
      </c>
      <c r="O89" s="8">
        <f>Table1[[#This Row],[Dry_Weight_Final]]-Table1[[#This Row],[Envelope+Staple weight]]</f>
        <v>2.5999999999999912E-2</v>
      </c>
      <c r="P89" s="10">
        <v>0.67900000000000005</v>
      </c>
      <c r="Q89" s="38">
        <f>Table1[[#This Row],[Lipid Free Weight with envelope]]-Table1[[#This Row],[Envelope+Staple weight]]</f>
        <v>1.7000000000000015E-2</v>
      </c>
      <c r="R89" s="38">
        <f>Table1[[#This Row],[Insect_Weight]]-Table1[[#This Row],[Lipid_Free_Weight]]</f>
        <v>9.5999999999999974E-2</v>
      </c>
    </row>
    <row r="90" spans="1:18" x14ac:dyDescent="0.25">
      <c r="A90" t="s">
        <v>46</v>
      </c>
      <c r="B90" s="7">
        <v>45863</v>
      </c>
      <c r="C90" s="8" t="s">
        <v>96</v>
      </c>
      <c r="D90" s="8" t="s">
        <v>117</v>
      </c>
      <c r="E90" s="8" t="str">
        <f>Table1[[#This Row],[Family]]&amp;Table1[[#This Row],[Size]]</f>
        <v>Tortricidae&lt;1</v>
      </c>
      <c r="F90" s="8" t="s">
        <v>98</v>
      </c>
      <c r="G90" s="8">
        <v>50</v>
      </c>
      <c r="H90" s="8">
        <v>0.67300000000000004</v>
      </c>
      <c r="I90" s="8">
        <v>1.1830000000000001</v>
      </c>
      <c r="J90" s="8">
        <f>Table1[[#This Row],[Bugs+Envelope Weight]]-Table1[[#This Row],[Envelope+Staple weight]]</f>
        <v>0.51</v>
      </c>
      <c r="K90" s="25">
        <f>Table1[[#This Row],[Insect_Weight]]/Table1[[#This Row],[Quantity]]</f>
        <v>1.0200000000000001E-2</v>
      </c>
      <c r="L90" s="8">
        <v>0.873</v>
      </c>
      <c r="M90" s="8" t="b">
        <f t="shared" si="2"/>
        <v>1</v>
      </c>
      <c r="N90" s="8">
        <v>0.871</v>
      </c>
      <c r="O90" s="8">
        <f>Table1[[#This Row],[Dry_Weight_Final]]-Table1[[#This Row],[Envelope+Staple weight]]</f>
        <v>0.19799999999999995</v>
      </c>
      <c r="P90" s="10">
        <v>0.83599999999999997</v>
      </c>
      <c r="Q90" s="38">
        <f>Table1[[#This Row],[Lipid Free Weight with envelope]]-Table1[[#This Row],[Envelope+Staple weight]]</f>
        <v>0.16299999999999992</v>
      </c>
      <c r="R90" s="38">
        <f>Table1[[#This Row],[Insect_Weight]]-Table1[[#This Row],[Lipid_Free_Weight]]</f>
        <v>0.34700000000000009</v>
      </c>
    </row>
    <row r="91" spans="1:18" x14ac:dyDescent="0.25">
      <c r="A91" t="s">
        <v>46</v>
      </c>
      <c r="B91" s="7">
        <v>45852</v>
      </c>
      <c r="C91" s="8" t="s">
        <v>96</v>
      </c>
      <c r="D91" s="8" t="s">
        <v>117</v>
      </c>
      <c r="E91" s="8" t="str">
        <f>Table1[[#This Row],[Family]]&amp;Table1[[#This Row],[Size]]</f>
        <v>Tortricidae&gt;1</v>
      </c>
      <c r="F91" s="8" t="s">
        <v>107</v>
      </c>
      <c r="G91" s="8">
        <v>14</v>
      </c>
      <c r="H91" s="8">
        <v>0.66</v>
      </c>
      <c r="I91" s="8">
        <v>0.90700000000000003</v>
      </c>
      <c r="J91" s="8">
        <f>Table1[[#This Row],[Bugs+Envelope Weight]]-Table1[[#This Row],[Envelope+Staple weight]]</f>
        <v>0.247</v>
      </c>
      <c r="K91" s="25">
        <f>Table1[[#This Row],[Insect_Weight]]/Table1[[#This Row],[Quantity]]</f>
        <v>1.7642857142857144E-2</v>
      </c>
      <c r="L91" s="8">
        <v>0.74399999999999999</v>
      </c>
      <c r="M91" s="8" t="b">
        <f t="shared" si="2"/>
        <v>1</v>
      </c>
      <c r="N91" s="8">
        <v>0.74099999999999999</v>
      </c>
      <c r="O91" s="8">
        <f>Table1[[#This Row],[Dry_Weight_Final]]-Table1[[#This Row],[Envelope+Staple weight]]</f>
        <v>8.0999999999999961E-2</v>
      </c>
      <c r="P91" s="10">
        <v>0.71699999999999997</v>
      </c>
      <c r="Q91" s="38">
        <f>Table1[[#This Row],[Lipid Free Weight with envelope]]-Table1[[#This Row],[Envelope+Staple weight]]</f>
        <v>5.699999999999994E-2</v>
      </c>
      <c r="R91" s="38">
        <f>Table1[[#This Row],[Insect_Weight]]-Table1[[#This Row],[Lipid_Free_Weight]]</f>
        <v>0.19000000000000006</v>
      </c>
    </row>
    <row r="92" spans="1:18" x14ac:dyDescent="0.25">
      <c r="A92" t="s">
        <v>46</v>
      </c>
      <c r="B92" s="7">
        <v>45852</v>
      </c>
      <c r="C92" s="8" t="s">
        <v>103</v>
      </c>
      <c r="D92" s="8" t="s">
        <v>104</v>
      </c>
      <c r="E92" s="8" t="str">
        <f>Table1[[#This Row],[Family]]&amp;Table1[[#This Row],[Size]]</f>
        <v xml:space="preserve">Nematocera </v>
      </c>
      <c r="F92" s="8"/>
      <c r="G92" s="8">
        <v>332</v>
      </c>
      <c r="H92" s="8">
        <v>0.66900000000000004</v>
      </c>
      <c r="I92" s="8">
        <v>0.77200000000000002</v>
      </c>
      <c r="J92" s="8">
        <f>Table1[[#This Row],[Bugs+Envelope Weight]]-Table1[[#This Row],[Envelope+Staple weight]]</f>
        <v>0.10299999999999998</v>
      </c>
      <c r="K92" s="25">
        <f>Table1[[#This Row],[Insect_Weight]]/Table1[[#This Row],[Quantity]]</f>
        <v>3.1024096385542162E-4</v>
      </c>
      <c r="L92" s="8">
        <v>0.70899999999999996</v>
      </c>
      <c r="M92" s="8" t="b">
        <f t="shared" si="2"/>
        <v>1</v>
      </c>
      <c r="N92" s="8">
        <v>0.70699999999999996</v>
      </c>
      <c r="O92" s="8">
        <f>Table1[[#This Row],[Dry_Weight_Final]]-Table1[[#This Row],[Envelope+Staple weight]]</f>
        <v>3.7999999999999923E-2</v>
      </c>
      <c r="P92" s="10">
        <v>0.70099999999999996</v>
      </c>
      <c r="Q92" s="38">
        <f>Table1[[#This Row],[Lipid Free Weight with envelope]]-Table1[[#This Row],[Envelope+Staple weight]]</f>
        <v>3.1999999999999917E-2</v>
      </c>
      <c r="R92" s="38">
        <f>Table1[[#This Row],[Insect_Weight]]-Table1[[#This Row],[Lipid_Free_Weight]]</f>
        <v>7.1000000000000063E-2</v>
      </c>
    </row>
    <row r="93" spans="1:18" x14ac:dyDescent="0.25">
      <c r="A93" t="s">
        <v>46</v>
      </c>
      <c r="B93" s="7">
        <v>45852</v>
      </c>
      <c r="C93" s="8" t="s">
        <v>96</v>
      </c>
      <c r="D93" s="8" t="s">
        <v>18</v>
      </c>
      <c r="E93" s="8" t="str">
        <f>Table1[[#This Row],[Family]]&amp;Table1[[#This Row],[Size]]</f>
        <v>Notodontidae</v>
      </c>
      <c r="F93" s="8"/>
      <c r="G93" s="8">
        <v>5</v>
      </c>
      <c r="H93" s="8">
        <v>0.65400000000000003</v>
      </c>
      <c r="I93" s="8">
        <v>1.2609999999999999</v>
      </c>
      <c r="J93" s="8">
        <f>Table1[[#This Row],[Bugs+Envelope Weight]]-Table1[[#This Row],[Envelope+Staple weight]]</f>
        <v>0.60699999999999987</v>
      </c>
      <c r="K93" s="25">
        <f>Table1[[#This Row],[Insect_Weight]]/Table1[[#This Row],[Quantity]]</f>
        <v>0.12139999999999998</v>
      </c>
      <c r="L93" s="8">
        <v>0.872</v>
      </c>
      <c r="M93" s="8" t="b">
        <f t="shared" si="2"/>
        <v>1</v>
      </c>
      <c r="N93" s="8">
        <v>0.875</v>
      </c>
      <c r="O93" s="8">
        <f>Table1[[#This Row],[Dry_Weight_Final]]-Table1[[#This Row],[Envelope+Staple weight]]</f>
        <v>0.22099999999999997</v>
      </c>
      <c r="P93" s="10">
        <v>0.80700000000000005</v>
      </c>
      <c r="Q93" s="38">
        <f>Table1[[#This Row],[Lipid Free Weight with envelope]]-Table1[[#This Row],[Envelope+Staple weight]]</f>
        <v>0.15300000000000002</v>
      </c>
      <c r="R93" s="38">
        <f>Table1[[#This Row],[Insect_Weight]]-Table1[[#This Row],[Lipid_Free_Weight]]</f>
        <v>0.45399999999999985</v>
      </c>
    </row>
    <row r="94" spans="1:18" x14ac:dyDescent="0.25">
      <c r="A94" t="s">
        <v>46</v>
      </c>
      <c r="B94" s="7">
        <v>45852</v>
      </c>
      <c r="C94" s="8" t="s">
        <v>105</v>
      </c>
      <c r="D94" s="8" t="s">
        <v>28</v>
      </c>
      <c r="E94" s="8" t="str">
        <f>Table1[[#This Row],[Family]]&amp;Table1[[#This Row],[Size]]</f>
        <v>Elateridae</v>
      </c>
      <c r="F94" s="8"/>
      <c r="G94" s="8">
        <v>7</v>
      </c>
      <c r="H94" s="8">
        <v>0.66700000000000004</v>
      </c>
      <c r="I94" s="8">
        <v>0.95599999999999996</v>
      </c>
      <c r="J94" s="8">
        <f>Table1[[#This Row],[Bugs+Envelope Weight]]-Table1[[#This Row],[Envelope+Staple weight]]</f>
        <v>0.28899999999999992</v>
      </c>
      <c r="K94" s="25">
        <f>Table1[[#This Row],[Insect_Weight]]/Table1[[#This Row],[Quantity]]</f>
        <v>4.1285714285714273E-2</v>
      </c>
      <c r="L94" s="8">
        <v>0.75700000000000001</v>
      </c>
      <c r="M94" s="8" t="b">
        <f t="shared" si="2"/>
        <v>1</v>
      </c>
      <c r="N94" s="8">
        <v>0.75900000000000001</v>
      </c>
      <c r="O94" s="8">
        <f>Table1[[#This Row],[Dry_Weight_Final]]-Table1[[#This Row],[Envelope+Staple weight]]</f>
        <v>9.1999999999999971E-2</v>
      </c>
      <c r="P94" s="10">
        <v>0.746</v>
      </c>
      <c r="Q94" s="38">
        <f>Table1[[#This Row],[Lipid Free Weight with envelope]]-Table1[[#This Row],[Envelope+Staple weight]]</f>
        <v>7.8999999999999959E-2</v>
      </c>
      <c r="R94" s="38">
        <f>Table1[[#This Row],[Insect_Weight]]-Table1[[#This Row],[Lipid_Free_Weight]]</f>
        <v>0.20999999999999996</v>
      </c>
    </row>
    <row r="95" spans="1:18" x14ac:dyDescent="0.25">
      <c r="A95" t="s">
        <v>46</v>
      </c>
      <c r="B95" s="7">
        <v>45852</v>
      </c>
      <c r="C95" s="8" t="s">
        <v>96</v>
      </c>
      <c r="D95" s="8" t="s">
        <v>17</v>
      </c>
      <c r="E95" s="8" t="str">
        <f>Table1[[#This Row],[Family]]&amp;Table1[[#This Row],[Size]]</f>
        <v>Lasiocampidae</v>
      </c>
      <c r="F95" s="8"/>
      <c r="G95" s="8">
        <v>16</v>
      </c>
      <c r="H95" s="8">
        <v>0.67100000000000004</v>
      </c>
      <c r="I95" s="8">
        <v>1.635</v>
      </c>
      <c r="J95" s="8">
        <f>Table1[[#This Row],[Bugs+Envelope Weight]]-Table1[[#This Row],[Envelope+Staple weight]]</f>
        <v>0.96399999999999997</v>
      </c>
      <c r="K95" s="25">
        <f>Table1[[#This Row],[Insect_Weight]]/Table1[[#This Row],[Quantity]]</f>
        <v>6.0249999999999998E-2</v>
      </c>
      <c r="L95" s="8">
        <v>1.03</v>
      </c>
      <c r="M95" s="8" t="b">
        <f t="shared" si="2"/>
        <v>1</v>
      </c>
      <c r="N95" s="8">
        <v>1.0309999999999999</v>
      </c>
      <c r="O95" s="8">
        <f>Table1[[#This Row],[Dry_Weight_Final]]-Table1[[#This Row],[Envelope+Staple weight]]</f>
        <v>0.35999999999999988</v>
      </c>
      <c r="P95" s="10">
        <v>0.94599999999999995</v>
      </c>
      <c r="Q95" s="38">
        <f>Table1[[#This Row],[Lipid Free Weight with envelope]]-Table1[[#This Row],[Envelope+Staple weight]]</f>
        <v>0.27499999999999991</v>
      </c>
      <c r="R95" s="38">
        <f>Table1[[#This Row],[Insect_Weight]]-Table1[[#This Row],[Lipid_Free_Weight]]</f>
        <v>0.68900000000000006</v>
      </c>
    </row>
    <row r="96" spans="1:18" x14ac:dyDescent="0.25">
      <c r="A96" t="s">
        <v>46</v>
      </c>
      <c r="B96" s="7">
        <v>45852</v>
      </c>
      <c r="C96" s="8" t="s">
        <v>96</v>
      </c>
      <c r="D96" s="8" t="s">
        <v>110</v>
      </c>
      <c r="E96" s="8" t="str">
        <f>Table1[[#This Row],[Family]]&amp;Table1[[#This Row],[Size]]</f>
        <v>Pyralidae&gt;1</v>
      </c>
      <c r="F96" s="8" t="s">
        <v>107</v>
      </c>
      <c r="G96" s="8">
        <v>9</v>
      </c>
      <c r="H96" s="8">
        <v>0.66200000000000003</v>
      </c>
      <c r="I96" s="8">
        <v>0.79900000000000004</v>
      </c>
      <c r="J96" s="8">
        <f>Table1[[#This Row],[Bugs+Envelope Weight]]-Table1[[#This Row],[Envelope+Staple weight]]</f>
        <v>0.13700000000000001</v>
      </c>
      <c r="K96" s="25">
        <f>Table1[[#This Row],[Insect_Weight]]/Table1[[#This Row],[Quantity]]</f>
        <v>1.5222222222222224E-2</v>
      </c>
      <c r="L96" s="8">
        <v>0.69</v>
      </c>
      <c r="M96" s="8" t="b">
        <f t="shared" si="2"/>
        <v>1</v>
      </c>
      <c r="N96" s="8">
        <v>0.69</v>
      </c>
      <c r="O96" s="38">
        <f>Table1[[#This Row],[Dry_Weight_Final]]-Table1[[#This Row],[Envelope+Staple weight]]</f>
        <v>2.7999999999999914E-2</v>
      </c>
      <c r="P96" s="35">
        <v>0.67800000000000005</v>
      </c>
      <c r="Q96" s="41">
        <f>Table1[[#This Row],[Lipid Free Weight with envelope]]-Table1[[#This Row],[Envelope+Staple weight]]</f>
        <v>1.6000000000000014E-2</v>
      </c>
      <c r="R96" s="41">
        <f>Table1[[#This Row],[Insect_Weight]]-Table1[[#This Row],[Lipid_Free_Weight]]</f>
        <v>0.121</v>
      </c>
    </row>
    <row r="97" spans="1:18" x14ac:dyDescent="0.25">
      <c r="A97" t="s">
        <v>46</v>
      </c>
      <c r="B97" s="7">
        <v>45840</v>
      </c>
      <c r="C97" s="8" t="s">
        <v>96</v>
      </c>
      <c r="D97" s="8" t="s">
        <v>118</v>
      </c>
      <c r="E97" s="8" t="str">
        <f>Table1[[#This Row],[Family]]&amp;Table1[[#This Row],[Size]]</f>
        <v xml:space="preserve">Notodontidae </v>
      </c>
      <c r="F97" s="8"/>
      <c r="G97" s="8">
        <v>16</v>
      </c>
      <c r="H97" s="8">
        <v>0.66200000000000003</v>
      </c>
      <c r="I97" s="8">
        <v>2.1070000000000002</v>
      </c>
      <c r="J97" s="8">
        <f>Table1[[#This Row],[Bugs+Envelope Weight]]-Table1[[#This Row],[Envelope+Staple weight]]</f>
        <v>1.4450000000000003</v>
      </c>
      <c r="K97" s="25">
        <f>Table1[[#This Row],[Insect_Weight]]/Table1[[#This Row],[Quantity]]</f>
        <v>9.0312500000000018E-2</v>
      </c>
      <c r="L97" s="8">
        <v>1.2270000000000001</v>
      </c>
      <c r="M97" s="8" t="b">
        <f t="shared" si="2"/>
        <v>1</v>
      </c>
      <c r="N97" s="8">
        <v>1.224</v>
      </c>
      <c r="O97" s="8">
        <f>Table1[[#This Row],[Dry_Weight_Final]]-Table1[[#This Row],[Envelope+Staple weight]]</f>
        <v>0.56199999999999994</v>
      </c>
      <c r="P97" s="10">
        <v>1.04</v>
      </c>
      <c r="Q97" s="38">
        <f>Table1[[#This Row],[Lipid Free Weight with envelope]]-Table1[[#This Row],[Envelope+Staple weight]]</f>
        <v>0.378</v>
      </c>
      <c r="R97" s="38">
        <f>Table1[[#This Row],[Insect_Weight]]-Table1[[#This Row],[Lipid_Free_Weight]]</f>
        <v>1.0670000000000002</v>
      </c>
    </row>
    <row r="98" spans="1:18" x14ac:dyDescent="0.25">
      <c r="A98" t="s">
        <v>46</v>
      </c>
      <c r="B98" s="7">
        <v>45863</v>
      </c>
      <c r="C98" s="8" t="s">
        <v>96</v>
      </c>
      <c r="D98" s="8" t="s">
        <v>110</v>
      </c>
      <c r="E98" s="8" t="str">
        <f>Table1[[#This Row],[Family]]&amp;Table1[[#This Row],[Size]]</f>
        <v>Pyralidae&lt;1</v>
      </c>
      <c r="F98" s="8" t="s">
        <v>98</v>
      </c>
      <c r="G98" s="8">
        <v>13</v>
      </c>
      <c r="H98" s="8">
        <v>0.44</v>
      </c>
      <c r="I98" s="8">
        <v>0.55900000000000005</v>
      </c>
      <c r="J98" s="8">
        <f>Table1[[#This Row],[Bugs+Envelope Weight]]-Table1[[#This Row],[Envelope+Staple weight]]</f>
        <v>0.11900000000000005</v>
      </c>
      <c r="K98" s="25">
        <f>Table1[[#This Row],[Insect_Weight]]/Table1[[#This Row],[Quantity]]</f>
        <v>9.1538461538461582E-3</v>
      </c>
      <c r="L98" s="8">
        <v>0.47099999999999997</v>
      </c>
      <c r="M98" s="8" t="b">
        <f t="shared" ref="M98:M129" si="3">L98&lt;I98</f>
        <v>1</v>
      </c>
      <c r="N98" s="8">
        <v>0.47199999999999998</v>
      </c>
      <c r="O98" s="38">
        <f>Table1[[#This Row],[Dry_Weight_Final]]-Table1[[#This Row],[Envelope+Staple weight]]</f>
        <v>3.1999999999999973E-2</v>
      </c>
      <c r="P98" s="35">
        <v>0.46200000000000002</v>
      </c>
      <c r="Q98" s="41">
        <f>Table1[[#This Row],[Lipid Free Weight with envelope]]-Table1[[#This Row],[Envelope+Staple weight]]</f>
        <v>2.200000000000002E-2</v>
      </c>
      <c r="R98" s="41">
        <f>Table1[[#This Row],[Insect_Weight]]-Table1[[#This Row],[Lipid_Free_Weight]]</f>
        <v>9.7000000000000031E-2</v>
      </c>
    </row>
    <row r="99" spans="1:18" x14ac:dyDescent="0.25">
      <c r="A99" t="s">
        <v>46</v>
      </c>
      <c r="B99" s="7">
        <v>45863</v>
      </c>
      <c r="C99" s="8" t="s">
        <v>108</v>
      </c>
      <c r="D99" s="8" t="s">
        <v>119</v>
      </c>
      <c r="E99" s="8" t="str">
        <f>Table1[[#This Row],[Family]]&amp;Table1[[#This Row],[Size]]</f>
        <v xml:space="preserve">Limnephilidae </v>
      </c>
      <c r="F99" s="8"/>
      <c r="G99" s="8">
        <v>18</v>
      </c>
      <c r="H99" s="8">
        <v>0.69799999999999995</v>
      </c>
      <c r="I99" s="8">
        <v>0.96499999999999997</v>
      </c>
      <c r="J99" s="8">
        <f>Table1[[#This Row],[Bugs+Envelope Weight]]-Table1[[#This Row],[Envelope+Staple weight]]</f>
        <v>0.26700000000000002</v>
      </c>
      <c r="K99" s="25">
        <f>Table1[[#This Row],[Insect_Weight]]/Table1[[#This Row],[Quantity]]</f>
        <v>1.4833333333333334E-2</v>
      </c>
      <c r="L99" s="8">
        <v>0.78300000000000003</v>
      </c>
      <c r="M99" s="8" t="b">
        <f t="shared" si="3"/>
        <v>1</v>
      </c>
      <c r="N99" s="8">
        <v>0.78400000000000003</v>
      </c>
      <c r="O99" s="8">
        <f>Table1[[#This Row],[Dry_Weight_Final]]-Table1[[#This Row],[Envelope+Staple weight]]</f>
        <v>8.6000000000000076E-2</v>
      </c>
      <c r="P99" s="10">
        <v>0.76500000000000001</v>
      </c>
      <c r="Q99" s="38">
        <f>Table1[[#This Row],[Lipid Free Weight with envelope]]-Table1[[#This Row],[Envelope+Staple weight]]</f>
        <v>6.700000000000006E-2</v>
      </c>
      <c r="R99" s="38">
        <f>Table1[[#This Row],[Insect_Weight]]-Table1[[#This Row],[Lipid_Free_Weight]]</f>
        <v>0.19999999999999996</v>
      </c>
    </row>
    <row r="100" spans="1:18" x14ac:dyDescent="0.25">
      <c r="A100" t="s">
        <v>46</v>
      </c>
      <c r="B100" s="7">
        <v>45852</v>
      </c>
      <c r="C100" s="8" t="s">
        <v>108</v>
      </c>
      <c r="D100" s="8" t="s">
        <v>24</v>
      </c>
      <c r="E100" s="8" t="str">
        <f>Table1[[#This Row],[Family]]&amp;Table1[[#This Row],[Size]]</f>
        <v>Helicopsychidae</v>
      </c>
      <c r="F100" s="8"/>
      <c r="G100" s="8">
        <v>338</v>
      </c>
      <c r="H100" s="8">
        <v>0.66800000000000004</v>
      </c>
      <c r="I100" s="8">
        <v>1.238</v>
      </c>
      <c r="J100" s="8">
        <f>Table1[[#This Row],[Bugs+Envelope Weight]]-Table1[[#This Row],[Envelope+Staple weight]]</f>
        <v>0.56999999999999995</v>
      </c>
      <c r="K100" s="25">
        <f>Table1[[#This Row],[Insect_Weight]]/Table1[[#This Row],[Quantity]]</f>
        <v>1.6863905325443785E-3</v>
      </c>
      <c r="L100" s="8">
        <v>1.05</v>
      </c>
      <c r="M100" s="8" t="b">
        <f t="shared" si="3"/>
        <v>1</v>
      </c>
      <c r="N100" s="8">
        <v>1.0509999999999999</v>
      </c>
      <c r="O100" s="8">
        <f>Table1[[#This Row],[Dry_Weight_Final]]-Table1[[#This Row],[Envelope+Staple weight]]</f>
        <v>0.3829999999999999</v>
      </c>
      <c r="P100" s="10">
        <v>0.997</v>
      </c>
      <c r="Q100" s="38">
        <f>Table1[[#This Row],[Lipid Free Weight with envelope]]-Table1[[#This Row],[Envelope+Staple weight]]</f>
        <v>0.32899999999999996</v>
      </c>
      <c r="R100" s="38">
        <f>Table1[[#This Row],[Insect_Weight]]-Table1[[#This Row],[Lipid_Free_Weight]]</f>
        <v>0.24099999999999999</v>
      </c>
    </row>
    <row r="101" spans="1:18" x14ac:dyDescent="0.25">
      <c r="A101" t="s">
        <v>46</v>
      </c>
      <c r="B101" s="7">
        <v>45863</v>
      </c>
      <c r="C101" s="8" t="s">
        <v>96</v>
      </c>
      <c r="D101" s="8" t="s">
        <v>18</v>
      </c>
      <c r="E101" s="38" t="str">
        <f>Table1[[#This Row],[Family]]&amp;Table1[[#This Row],[Size]]</f>
        <v>Notodontidae</v>
      </c>
      <c r="F101" s="9"/>
      <c r="G101" s="8">
        <v>13</v>
      </c>
      <c r="H101" s="8">
        <v>0.66700000000000004</v>
      </c>
      <c r="I101" s="8">
        <v>1.7789999999999999</v>
      </c>
      <c r="J101" s="8">
        <f>Table1[[#This Row],[Bugs+Envelope Weight]]-Table1[[#This Row],[Envelope+Staple weight]]</f>
        <v>1.1119999999999999</v>
      </c>
      <c r="K101" s="25">
        <f>Table1[[#This Row],[Insect_Weight]]/Table1[[#This Row],[Quantity]]</f>
        <v>8.5538461538461535E-2</v>
      </c>
      <c r="L101" s="8">
        <v>1.101</v>
      </c>
      <c r="M101" s="8" t="b">
        <f t="shared" si="3"/>
        <v>1</v>
      </c>
      <c r="N101" s="8">
        <v>1.105</v>
      </c>
      <c r="O101" s="8">
        <f>Table1[[#This Row],[Dry_Weight_Final]]-Table1[[#This Row],[Envelope+Staple weight]]</f>
        <v>0.43799999999999994</v>
      </c>
      <c r="P101" s="10">
        <v>0.95</v>
      </c>
      <c r="Q101" s="38">
        <f>Table1[[#This Row],[Lipid Free Weight with envelope]]-Table1[[#This Row],[Envelope+Staple weight]]</f>
        <v>0.28299999999999992</v>
      </c>
      <c r="R101" s="38">
        <f>Table1[[#This Row],[Insect_Weight]]-Table1[[#This Row],[Lipid_Free_Weight]]</f>
        <v>0.82899999999999996</v>
      </c>
    </row>
    <row r="102" spans="1:18" x14ac:dyDescent="0.25">
      <c r="A102" t="s">
        <v>46</v>
      </c>
      <c r="B102" s="7">
        <v>45863</v>
      </c>
      <c r="C102" s="8" t="s">
        <v>96</v>
      </c>
      <c r="D102" s="8" t="s">
        <v>97</v>
      </c>
      <c r="E102" s="8" t="str">
        <f>Table1[[#This Row],[Family]]&amp;Table1[[#This Row],[Size]]</f>
        <v>Geometridae&gt;1</v>
      </c>
      <c r="F102" s="8" t="s">
        <v>107</v>
      </c>
      <c r="G102" s="8">
        <v>18</v>
      </c>
      <c r="H102" s="8">
        <v>0.66</v>
      </c>
      <c r="I102" s="8">
        <v>1.127</v>
      </c>
      <c r="J102" s="8">
        <f>Table1[[#This Row],[Bugs+Envelope Weight]]-Table1[[#This Row],[Envelope+Staple weight]]</f>
        <v>0.46699999999999997</v>
      </c>
      <c r="K102" s="25">
        <f>Table1[[#This Row],[Insect_Weight]]/Table1[[#This Row],[Quantity]]</f>
        <v>2.5944444444444444E-2</v>
      </c>
      <c r="L102" s="8">
        <v>0.82299999999999995</v>
      </c>
      <c r="M102" s="8" t="b">
        <f t="shared" si="3"/>
        <v>1</v>
      </c>
      <c r="N102" s="8">
        <v>0.82399999999999995</v>
      </c>
      <c r="O102" s="8">
        <f>Table1[[#This Row],[Dry_Weight_Final]]-Table1[[#This Row],[Envelope+Staple weight]]</f>
        <v>0.16399999999999992</v>
      </c>
      <c r="P102" s="10">
        <v>0.81</v>
      </c>
      <c r="Q102" s="38">
        <f>Table1[[#This Row],[Lipid Free Weight with envelope]]-Table1[[#This Row],[Envelope+Staple weight]]</f>
        <v>0.15000000000000002</v>
      </c>
      <c r="R102" s="38">
        <f>Table1[[#This Row],[Insect_Weight]]-Table1[[#This Row],[Lipid_Free_Weight]]</f>
        <v>0.31699999999999995</v>
      </c>
    </row>
    <row r="103" spans="1:18" x14ac:dyDescent="0.25">
      <c r="A103" t="s">
        <v>46</v>
      </c>
      <c r="B103" s="7">
        <v>45852</v>
      </c>
      <c r="C103" s="8" t="s">
        <v>96</v>
      </c>
      <c r="D103" s="8" t="s">
        <v>100</v>
      </c>
      <c r="E103" s="38" t="str">
        <f>Table1[[#This Row],[Family]]&amp;Table1[[#This Row],[Size]]</f>
        <v>Crambidae&lt;1</v>
      </c>
      <c r="F103" s="9" t="s">
        <v>98</v>
      </c>
      <c r="G103" s="8">
        <v>47</v>
      </c>
      <c r="H103" s="8">
        <v>0.66700000000000004</v>
      </c>
      <c r="I103" s="8">
        <v>1.0089999999999999</v>
      </c>
      <c r="J103" s="8">
        <f>Table1[[#This Row],[Bugs+Envelope Weight]]-Table1[[#This Row],[Envelope+Staple weight]]</f>
        <v>0.34199999999999986</v>
      </c>
      <c r="K103" s="25">
        <f>Table1[[#This Row],[Insect_Weight]]/Table1[[#This Row],[Quantity]]</f>
        <v>7.2765957446808477E-3</v>
      </c>
      <c r="L103" s="8">
        <v>0.79400000000000004</v>
      </c>
      <c r="M103" s="8" t="b">
        <f t="shared" si="3"/>
        <v>1</v>
      </c>
      <c r="N103" s="8">
        <v>0.79500000000000004</v>
      </c>
      <c r="O103" s="8">
        <f>Table1[[#This Row],[Dry_Weight_Final]]-Table1[[#This Row],[Envelope+Staple weight]]</f>
        <v>0.128</v>
      </c>
      <c r="P103" s="10">
        <v>0.747</v>
      </c>
      <c r="Q103" s="38">
        <f>Table1[[#This Row],[Lipid Free Weight with envelope]]-Table1[[#This Row],[Envelope+Staple weight]]</f>
        <v>7.999999999999996E-2</v>
      </c>
      <c r="R103" s="38">
        <f>Table1[[#This Row],[Insect_Weight]]-Table1[[#This Row],[Lipid_Free_Weight]]</f>
        <v>0.2619999999999999</v>
      </c>
    </row>
    <row r="104" spans="1:18" x14ac:dyDescent="0.25">
      <c r="A104" t="s">
        <v>46</v>
      </c>
      <c r="B104" s="7">
        <v>45852</v>
      </c>
      <c r="C104" s="8" t="s">
        <v>96</v>
      </c>
      <c r="D104" s="8" t="s">
        <v>110</v>
      </c>
      <c r="E104" s="8" t="str">
        <f>Table1[[#This Row],[Family]]&amp;Table1[[#This Row],[Size]]</f>
        <v>Pyralidae&lt;1</v>
      </c>
      <c r="F104" s="8" t="s">
        <v>98</v>
      </c>
      <c r="G104" s="8">
        <v>15</v>
      </c>
      <c r="H104" s="8">
        <v>0.66600000000000004</v>
      </c>
      <c r="I104" s="8">
        <v>0.84799999999999998</v>
      </c>
      <c r="J104" s="8">
        <f>Table1[[#This Row],[Bugs+Envelope Weight]]-Table1[[#This Row],[Envelope+Staple weight]]</f>
        <v>0.18199999999999994</v>
      </c>
      <c r="K104" s="25">
        <f>Table1[[#This Row],[Insect_Weight]]/Table1[[#This Row],[Quantity]]</f>
        <v>1.2133333333333329E-2</v>
      </c>
      <c r="L104" s="8">
        <v>0.70899999999999996</v>
      </c>
      <c r="M104" s="8" t="b">
        <f t="shared" si="3"/>
        <v>1</v>
      </c>
      <c r="N104" s="8">
        <v>0.70799999999999996</v>
      </c>
      <c r="O104" s="8">
        <f>Table1[[#This Row],[Dry_Weight_Final]]-Table1[[#This Row],[Envelope+Staple weight]]</f>
        <v>4.1999999999999926E-2</v>
      </c>
      <c r="P104" s="10">
        <v>0.69899999999999995</v>
      </c>
      <c r="Q104" s="38">
        <f>Table1[[#This Row],[Lipid Free Weight with envelope]]-Table1[[#This Row],[Envelope+Staple weight]]</f>
        <v>3.2999999999999918E-2</v>
      </c>
      <c r="R104" s="38">
        <f>Table1[[#This Row],[Insect_Weight]]-Table1[[#This Row],[Lipid_Free_Weight]]</f>
        <v>0.14900000000000002</v>
      </c>
    </row>
    <row r="105" spans="1:18" x14ac:dyDescent="0.25">
      <c r="A105" t="s">
        <v>46</v>
      </c>
      <c r="B105" s="7">
        <v>45863</v>
      </c>
      <c r="C105" s="8" t="s">
        <v>108</v>
      </c>
      <c r="D105" s="8" t="s">
        <v>23</v>
      </c>
      <c r="E105" s="8" t="str">
        <f>Table1[[#This Row],[Family]]&amp;Table1[[#This Row],[Size]]</f>
        <v>Phryganeidae</v>
      </c>
      <c r="F105" s="8"/>
      <c r="G105" s="8">
        <v>16</v>
      </c>
      <c r="H105" s="8">
        <v>0.67500000000000004</v>
      </c>
      <c r="I105" s="8">
        <v>1.8460000000000001</v>
      </c>
      <c r="J105" s="8">
        <f>Table1[[#This Row],[Bugs+Envelope Weight]]-Table1[[#This Row],[Envelope+Staple weight]]</f>
        <v>1.171</v>
      </c>
      <c r="K105" s="25">
        <f>Table1[[#This Row],[Insect_Weight]]/Table1[[#This Row],[Quantity]]</f>
        <v>7.3187500000000003E-2</v>
      </c>
      <c r="L105" s="8">
        <v>1.048</v>
      </c>
      <c r="M105" s="8" t="b">
        <f t="shared" si="3"/>
        <v>1</v>
      </c>
      <c r="N105" s="8">
        <v>1.048</v>
      </c>
      <c r="O105" s="8">
        <f>Table1[[#This Row],[Dry_Weight_Final]]-Table1[[#This Row],[Envelope+Staple weight]]</f>
        <v>0.373</v>
      </c>
      <c r="P105" s="10">
        <v>0.99099999999999999</v>
      </c>
      <c r="Q105" s="38">
        <f>Table1[[#This Row],[Lipid Free Weight with envelope]]-Table1[[#This Row],[Envelope+Staple weight]]</f>
        <v>0.31599999999999995</v>
      </c>
      <c r="R105" s="38">
        <f>Table1[[#This Row],[Insect_Weight]]-Table1[[#This Row],[Lipid_Free_Weight]]</f>
        <v>0.85500000000000009</v>
      </c>
    </row>
    <row r="106" spans="1:18" x14ac:dyDescent="0.25">
      <c r="A106" t="s">
        <v>46</v>
      </c>
      <c r="B106" s="7">
        <v>45852</v>
      </c>
      <c r="C106" s="8" t="s">
        <v>96</v>
      </c>
      <c r="D106" s="8" t="s">
        <v>97</v>
      </c>
      <c r="E106" s="8" t="str">
        <f>Table1[[#This Row],[Family]]&amp;Table1[[#This Row],[Size]]</f>
        <v>Geometridae&gt;1</v>
      </c>
      <c r="F106" s="8" t="s">
        <v>107</v>
      </c>
      <c r="G106" s="8">
        <v>14</v>
      </c>
      <c r="H106" s="8">
        <v>0.67200000000000004</v>
      </c>
      <c r="I106" s="8">
        <v>1.171</v>
      </c>
      <c r="J106" s="8">
        <f>Table1[[#This Row],[Bugs+Envelope Weight]]-Table1[[#This Row],[Envelope+Staple weight]]</f>
        <v>0.499</v>
      </c>
      <c r="K106" s="25">
        <f>Table1[[#This Row],[Insect_Weight]]/Table1[[#This Row],[Quantity]]</f>
        <v>3.5642857142857143E-2</v>
      </c>
      <c r="L106" s="8">
        <v>0.83299999999999996</v>
      </c>
      <c r="M106" s="8" t="b">
        <f t="shared" si="3"/>
        <v>1</v>
      </c>
      <c r="N106" s="8">
        <v>0.83299999999999996</v>
      </c>
      <c r="O106" s="8">
        <f>Table1[[#This Row],[Dry_Weight_Final]]-Table1[[#This Row],[Envelope+Staple weight]]</f>
        <v>0.16099999999999992</v>
      </c>
      <c r="P106" s="10">
        <v>0.81599999999999995</v>
      </c>
      <c r="Q106" s="38">
        <f>Table1[[#This Row],[Lipid Free Weight with envelope]]-Table1[[#This Row],[Envelope+Staple weight]]</f>
        <v>0.14399999999999991</v>
      </c>
      <c r="R106" s="38">
        <f>Table1[[#This Row],[Insect_Weight]]-Table1[[#This Row],[Lipid_Free_Weight]]</f>
        <v>0.35500000000000009</v>
      </c>
    </row>
    <row r="107" spans="1:18" x14ac:dyDescent="0.25">
      <c r="A107" t="s">
        <v>46</v>
      </c>
      <c r="B107" s="7">
        <v>45840</v>
      </c>
      <c r="C107" s="8" t="s">
        <v>105</v>
      </c>
      <c r="D107" s="8" t="s">
        <v>29</v>
      </c>
      <c r="E107" s="8" t="str">
        <f>Table1[[#This Row],[Family]]&amp;Table1[[#This Row],[Size]]</f>
        <v>Silphidae</v>
      </c>
      <c r="F107" s="8"/>
      <c r="G107" s="8">
        <v>6</v>
      </c>
      <c r="H107" s="8">
        <v>0.67100000000000004</v>
      </c>
      <c r="I107" s="8">
        <v>2.9630000000000001</v>
      </c>
      <c r="J107" s="8">
        <f>Table1[[#This Row],[Bugs+Envelope Weight]]-Table1[[#This Row],[Envelope+Staple weight]]</f>
        <v>2.2919999999999998</v>
      </c>
      <c r="K107" s="25">
        <f>Table1[[#This Row],[Insect_Weight]]/Table1[[#This Row],[Quantity]]</f>
        <v>0.38199999999999995</v>
      </c>
      <c r="L107" s="8">
        <v>1.7030000000000001</v>
      </c>
      <c r="M107" s="8" t="b">
        <f t="shared" si="3"/>
        <v>1</v>
      </c>
      <c r="N107" s="8">
        <v>1.7010000000000001</v>
      </c>
      <c r="O107" s="8">
        <f>Table1[[#This Row],[Dry_Weight_Final]]-Table1[[#This Row],[Envelope+Staple weight]]</f>
        <v>1.03</v>
      </c>
      <c r="P107" s="10">
        <v>1.5629999999999999</v>
      </c>
      <c r="Q107" s="38">
        <f>Table1[[#This Row],[Lipid Free Weight with envelope]]-Table1[[#This Row],[Envelope+Staple weight]]</f>
        <v>0.8919999999999999</v>
      </c>
      <c r="R107" s="38">
        <f>Table1[[#This Row],[Insect_Weight]]-Table1[[#This Row],[Lipid_Free_Weight]]</f>
        <v>1.4</v>
      </c>
    </row>
    <row r="108" spans="1:18" x14ac:dyDescent="0.25">
      <c r="A108" t="s">
        <v>46</v>
      </c>
      <c r="B108" s="7">
        <v>45840</v>
      </c>
      <c r="C108" s="8" t="s">
        <v>96</v>
      </c>
      <c r="D108" s="8" t="s">
        <v>100</v>
      </c>
      <c r="E108" s="8" t="str">
        <f>Table1[[#This Row],[Family]]&amp;Table1[[#This Row],[Size]]</f>
        <v>Crambidae&lt;1</v>
      </c>
      <c r="F108" s="8" t="s">
        <v>98</v>
      </c>
      <c r="G108" s="8">
        <v>124</v>
      </c>
      <c r="H108" s="8">
        <v>0.66</v>
      </c>
      <c r="I108" s="8">
        <v>1.5529999999999999</v>
      </c>
      <c r="J108" s="8">
        <f>Table1[[#This Row],[Bugs+Envelope Weight]]-Table1[[#This Row],[Envelope+Staple weight]]</f>
        <v>0.8929999999999999</v>
      </c>
      <c r="K108" s="25">
        <f>Table1[[#This Row],[Insect_Weight]]/Table1[[#This Row],[Quantity]]</f>
        <v>7.2016129032258054E-3</v>
      </c>
      <c r="L108" s="8">
        <v>1.0720000000000001</v>
      </c>
      <c r="M108" s="8" t="b">
        <f t="shared" si="3"/>
        <v>1</v>
      </c>
      <c r="N108" s="8">
        <v>1.073</v>
      </c>
      <c r="O108" s="8">
        <f>Table1[[#This Row],[Dry_Weight_Final]]-Table1[[#This Row],[Envelope+Staple weight]]</f>
        <v>0.41299999999999992</v>
      </c>
      <c r="P108" s="10">
        <v>0.94299999999999995</v>
      </c>
      <c r="Q108" s="38">
        <f>Table1[[#This Row],[Lipid Free Weight with envelope]]-Table1[[#This Row],[Envelope+Staple weight]]</f>
        <v>0.28299999999999992</v>
      </c>
      <c r="R108" s="38">
        <f>Table1[[#This Row],[Insect_Weight]]-Table1[[#This Row],[Lipid_Free_Weight]]</f>
        <v>0.61</v>
      </c>
    </row>
    <row r="109" spans="1:18" x14ac:dyDescent="0.25">
      <c r="A109" t="s">
        <v>46</v>
      </c>
      <c r="B109" s="7">
        <v>45852</v>
      </c>
      <c r="C109" s="8" t="s">
        <v>112</v>
      </c>
      <c r="D109" s="8" t="s">
        <v>26</v>
      </c>
      <c r="E109" s="8" t="str">
        <f>Table1[[#This Row],[Family]]&amp;Table1[[#This Row],[Size]]</f>
        <v>Ephemeridae</v>
      </c>
      <c r="F109" s="8"/>
      <c r="G109" s="8">
        <v>53</v>
      </c>
      <c r="H109" s="8">
        <v>0.65600000000000003</v>
      </c>
      <c r="I109" s="8">
        <v>2.165</v>
      </c>
      <c r="J109" s="8">
        <f>Table1[[#This Row],[Bugs+Envelope Weight]]-Table1[[#This Row],[Envelope+Staple weight]]</f>
        <v>1.5089999999999999</v>
      </c>
      <c r="K109" s="25">
        <f>Table1[[#This Row],[Insect_Weight]]/Table1[[#This Row],[Quantity]]</f>
        <v>2.8471698113207544E-2</v>
      </c>
      <c r="L109" s="8">
        <v>1.2070000000000001</v>
      </c>
      <c r="M109" s="8" t="b">
        <f t="shared" si="3"/>
        <v>1</v>
      </c>
      <c r="N109" s="8">
        <v>1.206</v>
      </c>
      <c r="O109" s="8">
        <f>Table1[[#This Row],[Dry_Weight_Final]]-Table1[[#This Row],[Envelope+Staple weight]]</f>
        <v>0.54999999999999993</v>
      </c>
      <c r="P109" s="10">
        <v>1.181</v>
      </c>
      <c r="Q109" s="38">
        <f>Table1[[#This Row],[Lipid Free Weight with envelope]]-Table1[[#This Row],[Envelope+Staple weight]]</f>
        <v>0.52500000000000002</v>
      </c>
      <c r="R109" s="38">
        <f>Table1[[#This Row],[Insect_Weight]]-Table1[[#This Row],[Lipid_Free_Weight]]</f>
        <v>0.98399999999999987</v>
      </c>
    </row>
    <row r="110" spans="1:18" x14ac:dyDescent="0.25">
      <c r="A110" t="s">
        <v>46</v>
      </c>
      <c r="B110" s="7">
        <v>45840</v>
      </c>
      <c r="C110" s="8" t="s">
        <v>96</v>
      </c>
      <c r="D110" s="8" t="s">
        <v>110</v>
      </c>
      <c r="E110" s="8" t="str">
        <f>Table1[[#This Row],[Family]]&amp;Table1[[#This Row],[Size]]</f>
        <v>Pyralidae&lt;1</v>
      </c>
      <c r="F110" s="8" t="s">
        <v>98</v>
      </c>
      <c r="G110" s="8">
        <v>65</v>
      </c>
      <c r="H110" s="8">
        <v>0.435</v>
      </c>
      <c r="I110" s="8">
        <v>1.0229999999999999</v>
      </c>
      <c r="J110" s="8">
        <f>Table1[[#This Row],[Bugs+Envelope Weight]]-Table1[[#This Row],[Envelope+Staple weight]]</f>
        <v>0.58799999999999986</v>
      </c>
      <c r="K110" s="25">
        <f>Table1[[#This Row],[Insect_Weight]]/Table1[[#This Row],[Quantity]]</f>
        <v>9.0461538461538444E-3</v>
      </c>
      <c r="L110" s="8">
        <v>0.72099999999999997</v>
      </c>
      <c r="M110" s="8" t="b">
        <f t="shared" si="3"/>
        <v>1</v>
      </c>
      <c r="N110" s="8">
        <v>0.72099999999999997</v>
      </c>
      <c r="O110" s="8">
        <f>Table1[[#This Row],[Dry_Weight_Final]]-Table1[[#This Row],[Envelope+Staple weight]]</f>
        <v>0.28599999999999998</v>
      </c>
      <c r="P110" s="10">
        <v>0.68200000000000005</v>
      </c>
      <c r="Q110" s="38">
        <f>Table1[[#This Row],[Lipid Free Weight with envelope]]-Table1[[#This Row],[Envelope+Staple weight]]</f>
        <v>0.24700000000000005</v>
      </c>
      <c r="R110" s="38">
        <f>Table1[[#This Row],[Insect_Weight]]-Table1[[#This Row],[Lipid_Free_Weight]]</f>
        <v>0.3409999999999998</v>
      </c>
    </row>
    <row r="111" spans="1:18" x14ac:dyDescent="0.25">
      <c r="A111" t="s">
        <v>46</v>
      </c>
      <c r="B111" s="7">
        <v>45863</v>
      </c>
      <c r="C111" s="8" t="s">
        <v>96</v>
      </c>
      <c r="D111" s="8" t="s">
        <v>97</v>
      </c>
      <c r="E111" s="8" t="str">
        <f>Table1[[#This Row],[Family]]&amp;Table1[[#This Row],[Size]]</f>
        <v>Geometridae&lt;1</v>
      </c>
      <c r="F111" s="8" t="s">
        <v>98</v>
      </c>
      <c r="G111" s="8">
        <v>21</v>
      </c>
      <c r="H111" s="8">
        <v>0.44600000000000001</v>
      </c>
      <c r="I111" s="8">
        <v>0.65100000000000002</v>
      </c>
      <c r="J111" s="8">
        <f>Table1[[#This Row],[Bugs+Envelope Weight]]-Table1[[#This Row],[Envelope+Staple weight]]</f>
        <v>0.20500000000000002</v>
      </c>
      <c r="K111" s="25">
        <f>Table1[[#This Row],[Insect_Weight]]/Table1[[#This Row],[Quantity]]</f>
        <v>9.7619047619047633E-3</v>
      </c>
      <c r="L111" s="8">
        <v>0.52100000000000002</v>
      </c>
      <c r="M111" s="8" t="b">
        <f t="shared" si="3"/>
        <v>1</v>
      </c>
      <c r="N111" s="8">
        <v>0.52100000000000002</v>
      </c>
      <c r="O111" s="8">
        <f>Table1[[#This Row],[Dry_Weight_Final]]-Table1[[#This Row],[Envelope+Staple weight]]</f>
        <v>7.5000000000000011E-2</v>
      </c>
      <c r="P111" s="10">
        <v>0.50800000000000001</v>
      </c>
      <c r="Q111" s="38">
        <f>Table1[[#This Row],[Lipid Free Weight with envelope]]-Table1[[#This Row],[Envelope+Staple weight]]</f>
        <v>6.2E-2</v>
      </c>
      <c r="R111" s="38">
        <f>Table1[[#This Row],[Insect_Weight]]-Table1[[#This Row],[Lipid_Free_Weight]]</f>
        <v>0.14300000000000002</v>
      </c>
    </row>
    <row r="112" spans="1:18" x14ac:dyDescent="0.25">
      <c r="A112" t="s">
        <v>46</v>
      </c>
      <c r="B112" s="7">
        <v>45852</v>
      </c>
      <c r="C112" s="8" t="s">
        <v>96</v>
      </c>
      <c r="D112" s="8" t="s">
        <v>117</v>
      </c>
      <c r="E112" s="8" t="str">
        <f>Table1[[#This Row],[Family]]&amp;Table1[[#This Row],[Size]]</f>
        <v>Tortricidae&lt;1</v>
      </c>
      <c r="F112" s="8" t="s">
        <v>98</v>
      </c>
      <c r="G112" s="8">
        <v>75</v>
      </c>
      <c r="H112" s="8">
        <v>0.66800000000000004</v>
      </c>
      <c r="I112" s="8">
        <v>1.2649999999999999</v>
      </c>
      <c r="J112" s="8">
        <f>Table1[[#This Row],[Bugs+Envelope Weight]]-Table1[[#This Row],[Envelope+Staple weight]]</f>
        <v>0.59699999999999986</v>
      </c>
      <c r="K112" s="25">
        <f>Table1[[#This Row],[Insect_Weight]]/Table1[[#This Row],[Quantity]]</f>
        <v>7.9599999999999983E-3</v>
      </c>
      <c r="L112" s="8">
        <v>0.90700000000000003</v>
      </c>
      <c r="M112" s="8" t="b">
        <f t="shared" si="3"/>
        <v>1</v>
      </c>
      <c r="N112" s="8">
        <v>0.90800000000000003</v>
      </c>
      <c r="O112" s="8">
        <f>Table1[[#This Row],[Dry_Weight_Final]]-Table1[[#This Row],[Envelope+Staple weight]]</f>
        <v>0.24</v>
      </c>
      <c r="P112" s="10">
        <v>0.871</v>
      </c>
      <c r="Q112" s="38">
        <f>Table1[[#This Row],[Lipid Free Weight with envelope]]-Table1[[#This Row],[Envelope+Staple weight]]</f>
        <v>0.20299999999999996</v>
      </c>
      <c r="R112" s="38">
        <f>Table1[[#This Row],[Insect_Weight]]-Table1[[#This Row],[Lipid_Free_Weight]]</f>
        <v>0.39399999999999991</v>
      </c>
    </row>
    <row r="113" spans="1:19" x14ac:dyDescent="0.25">
      <c r="A113" t="s">
        <v>46</v>
      </c>
      <c r="B113" s="7">
        <v>45863</v>
      </c>
      <c r="C113" s="8" t="s">
        <v>105</v>
      </c>
      <c r="D113" s="8" t="s">
        <v>29</v>
      </c>
      <c r="E113" s="8" t="str">
        <f>Table1[[#This Row],[Family]]&amp;Table1[[#This Row],[Size]]</f>
        <v>Silphidae</v>
      </c>
      <c r="F113" s="8"/>
      <c r="G113" s="8">
        <v>4</v>
      </c>
      <c r="H113" s="8">
        <v>0.68200000000000005</v>
      </c>
      <c r="I113" s="8">
        <v>2.2490000000000001</v>
      </c>
      <c r="J113" s="8">
        <f>Table1[[#This Row],[Bugs+Envelope Weight]]-Table1[[#This Row],[Envelope+Staple weight]]</f>
        <v>1.5670000000000002</v>
      </c>
      <c r="K113" s="25">
        <f>Table1[[#This Row],[Insect_Weight]]/Table1[[#This Row],[Quantity]]</f>
        <v>0.39175000000000004</v>
      </c>
      <c r="L113" s="8">
        <v>1.3160000000000001</v>
      </c>
      <c r="M113" s="8" t="b">
        <f t="shared" si="3"/>
        <v>1</v>
      </c>
      <c r="N113" s="8">
        <v>1.3149999999999999</v>
      </c>
      <c r="O113" s="8">
        <f>Table1[[#This Row],[Dry_Weight_Final]]-Table1[[#This Row],[Envelope+Staple weight]]</f>
        <v>0.6329999999999999</v>
      </c>
      <c r="P113" s="10">
        <v>1.2330000000000001</v>
      </c>
      <c r="Q113" s="38">
        <f>Table1[[#This Row],[Lipid Free Weight with envelope]]-Table1[[#This Row],[Envelope+Staple weight]]</f>
        <v>0.55100000000000005</v>
      </c>
      <c r="R113" s="38">
        <f>Table1[[#This Row],[Insect_Weight]]-Table1[[#This Row],[Lipid_Free_Weight]]</f>
        <v>1.016</v>
      </c>
    </row>
    <row r="114" spans="1:19" x14ac:dyDescent="0.25">
      <c r="A114" t="s">
        <v>46</v>
      </c>
      <c r="B114" s="7">
        <v>45852</v>
      </c>
      <c r="C114" s="8" t="s">
        <v>96</v>
      </c>
      <c r="D114" s="8" t="s">
        <v>100</v>
      </c>
      <c r="E114" s="38" t="str">
        <f>Table1[[#This Row],[Family]]&amp;Table1[[#This Row],[Size]]</f>
        <v>Crambidae&gt;1</v>
      </c>
      <c r="F114" s="9" t="s">
        <v>107</v>
      </c>
      <c r="G114" s="8">
        <v>20</v>
      </c>
      <c r="H114" s="8">
        <v>0.66600000000000004</v>
      </c>
      <c r="I114" s="8">
        <v>1.0649999999999999</v>
      </c>
      <c r="J114" s="8">
        <f>Table1[[#This Row],[Bugs+Envelope Weight]]-Table1[[#This Row],[Envelope+Staple weight]]</f>
        <v>0.39899999999999991</v>
      </c>
      <c r="K114" s="25">
        <f>Table1[[#This Row],[Insect_Weight]]/Table1[[#This Row],[Quantity]]</f>
        <v>1.9949999999999996E-2</v>
      </c>
      <c r="L114" s="8">
        <v>0.81200000000000006</v>
      </c>
      <c r="M114" s="8" t="b">
        <f t="shared" si="3"/>
        <v>1</v>
      </c>
      <c r="N114" s="8">
        <v>0.81299999999999994</v>
      </c>
      <c r="O114" s="8">
        <f>Table1[[#This Row],[Dry_Weight_Final]]-Table1[[#This Row],[Envelope+Staple weight]]</f>
        <v>0.14699999999999991</v>
      </c>
      <c r="P114" s="10">
        <v>0.78200000000000003</v>
      </c>
      <c r="Q114" s="38">
        <f>Table1[[#This Row],[Lipid Free Weight with envelope]]-Table1[[#This Row],[Envelope+Staple weight]]</f>
        <v>0.11599999999999999</v>
      </c>
      <c r="R114" s="38">
        <f>Table1[[#This Row],[Insect_Weight]]-Table1[[#This Row],[Lipid_Free_Weight]]</f>
        <v>0.28299999999999992</v>
      </c>
    </row>
    <row r="115" spans="1:19" x14ac:dyDescent="0.25">
      <c r="A115" t="s">
        <v>46</v>
      </c>
      <c r="B115" s="7">
        <v>45863</v>
      </c>
      <c r="C115" s="8" t="s">
        <v>105</v>
      </c>
      <c r="D115" s="8" t="s">
        <v>115</v>
      </c>
      <c r="E115" s="8" t="str">
        <f>Table1[[#This Row],[Family]]&amp;Table1[[#This Row],[Size]]</f>
        <v>Heteroceridae</v>
      </c>
      <c r="F115" s="8"/>
      <c r="G115" s="8">
        <v>69</v>
      </c>
      <c r="H115" s="8">
        <v>0.45500000000000002</v>
      </c>
      <c r="I115" s="8">
        <v>0.60599999999999998</v>
      </c>
      <c r="J115" s="8">
        <f>Table1[[#This Row],[Bugs+Envelope Weight]]-Table1[[#This Row],[Envelope+Staple weight]]</f>
        <v>0.15099999999999997</v>
      </c>
      <c r="K115" s="25">
        <f>Table1[[#This Row],[Insect_Weight]]/Table1[[#This Row],[Quantity]]</f>
        <v>2.1884057971014487E-3</v>
      </c>
      <c r="L115" s="8">
        <v>0.52300000000000002</v>
      </c>
      <c r="M115" s="8" t="b">
        <f t="shared" si="3"/>
        <v>1</v>
      </c>
      <c r="N115" s="8">
        <v>0.52300000000000002</v>
      </c>
      <c r="O115" s="8">
        <f>Table1[[#This Row],[Dry_Weight_Final]]-Table1[[#This Row],[Envelope+Staple weight]]</f>
        <v>6.8000000000000005E-2</v>
      </c>
      <c r="P115" s="10">
        <v>0.51300000000000001</v>
      </c>
      <c r="Q115" s="38">
        <f>Table1[[#This Row],[Lipid Free Weight with envelope]]-Table1[[#This Row],[Envelope+Staple weight]]</f>
        <v>5.7999999999999996E-2</v>
      </c>
      <c r="R115" s="38">
        <f>Table1[[#This Row],[Insect_Weight]]-Table1[[#This Row],[Lipid_Free_Weight]]</f>
        <v>9.2999999999999972E-2</v>
      </c>
    </row>
    <row r="116" spans="1:19" x14ac:dyDescent="0.25">
      <c r="A116" t="s">
        <v>46</v>
      </c>
      <c r="B116" s="7">
        <v>45852</v>
      </c>
      <c r="C116" s="8" t="s">
        <v>96</v>
      </c>
      <c r="D116" s="8" t="s">
        <v>109</v>
      </c>
      <c r="E116" s="38" t="str">
        <f>Table1[[#This Row],[Family]]&amp;Table1[[#This Row],[Size]]</f>
        <v>Erebidae&gt;1</v>
      </c>
      <c r="F116" s="9" t="s">
        <v>107</v>
      </c>
      <c r="G116" s="8">
        <v>19</v>
      </c>
      <c r="H116" s="8">
        <v>0.67400000000000004</v>
      </c>
      <c r="I116" s="8">
        <v>3.0569999999999999</v>
      </c>
      <c r="J116" s="8">
        <f>Table1[[#This Row],[Bugs+Envelope Weight]]-Table1[[#This Row],[Envelope+Staple weight]]</f>
        <v>2.383</v>
      </c>
      <c r="K116" s="25">
        <f>Table1[[#This Row],[Insect_Weight]]/Table1[[#This Row],[Quantity]]</f>
        <v>0.12542105263157896</v>
      </c>
      <c r="L116" s="8">
        <v>1.5660000000000001</v>
      </c>
      <c r="M116" s="8" t="b">
        <f t="shared" si="3"/>
        <v>1</v>
      </c>
      <c r="N116" s="8">
        <v>1.5660000000000001</v>
      </c>
      <c r="O116" s="38">
        <f>Table1[[#This Row],[Dry_Weight_Final]]-Table1[[#This Row],[Envelope+Staple weight]]</f>
        <v>0.89200000000000002</v>
      </c>
      <c r="P116" s="36">
        <v>1.4059999999999999</v>
      </c>
      <c r="Q116" s="42">
        <f>Table1[[#This Row],[Lipid Free Weight with envelope]]-Table1[[#This Row],[Envelope+Staple weight]]</f>
        <v>0.73199999999999987</v>
      </c>
      <c r="R116" s="42">
        <f>Table1[[#This Row],[Insect_Weight]]-Table1[[#This Row],[Lipid_Free_Weight]]</f>
        <v>1.6510000000000002</v>
      </c>
    </row>
    <row r="117" spans="1:19" x14ac:dyDescent="0.25">
      <c r="A117" t="s">
        <v>46</v>
      </c>
      <c r="B117" s="7">
        <v>45840</v>
      </c>
      <c r="C117" s="8" t="s">
        <v>96</v>
      </c>
      <c r="D117" s="8" t="s">
        <v>17</v>
      </c>
      <c r="E117" s="8" t="str">
        <f>Table1[[#This Row],[Family]]&amp;Table1[[#This Row],[Size]]</f>
        <v>Lasiocampidae</v>
      </c>
      <c r="F117" s="8"/>
      <c r="G117" s="8">
        <v>2</v>
      </c>
      <c r="H117" s="8">
        <v>0.443</v>
      </c>
      <c r="I117" s="8">
        <v>0.59699999999999998</v>
      </c>
      <c r="J117" s="8">
        <f>Table1[[#This Row],[Bugs+Envelope Weight]]-Table1[[#This Row],[Envelope+Staple weight]]</f>
        <v>0.15399999999999997</v>
      </c>
      <c r="K117" s="25">
        <f>Table1[[#This Row],[Insect_Weight]]/Table1[[#This Row],[Quantity]]</f>
        <v>7.6999999999999985E-2</v>
      </c>
      <c r="L117" s="8">
        <v>0.50600000000000001</v>
      </c>
      <c r="M117" s="8" t="b">
        <f t="shared" si="3"/>
        <v>1</v>
      </c>
      <c r="N117" s="8">
        <v>0.505</v>
      </c>
      <c r="O117" s="8">
        <f>Table1[[#This Row],[Dry_Weight_Final]]-Table1[[#This Row],[Envelope+Staple weight]]</f>
        <v>6.2E-2</v>
      </c>
      <c r="P117" s="10">
        <v>0.47299999999999998</v>
      </c>
      <c r="Q117" s="38">
        <f>Table1[[#This Row],[Lipid Free Weight with envelope]]-Table1[[#This Row],[Envelope+Staple weight]]</f>
        <v>2.9999999999999971E-2</v>
      </c>
      <c r="R117" s="38">
        <f>Table1[[#This Row],[Insect_Weight]]-Table1[[#This Row],[Lipid_Free_Weight]]</f>
        <v>0.124</v>
      </c>
    </row>
    <row r="118" spans="1:19" x14ac:dyDescent="0.25">
      <c r="A118" t="s">
        <v>46</v>
      </c>
      <c r="B118" s="7">
        <v>45852</v>
      </c>
      <c r="C118" s="8" t="s">
        <v>105</v>
      </c>
      <c r="D118" s="8" t="s">
        <v>106</v>
      </c>
      <c r="E118" s="38" t="str">
        <f>Table1[[#This Row],[Family]]&amp;Table1[[#This Row],[Size]]</f>
        <v>Carabidae&gt;1</v>
      </c>
      <c r="F118" s="9" t="s">
        <v>107</v>
      </c>
      <c r="G118" s="8">
        <v>3</v>
      </c>
      <c r="H118" s="8">
        <v>0.65600000000000003</v>
      </c>
      <c r="I118" s="8">
        <f>0.905+0.042</f>
        <v>0.94700000000000006</v>
      </c>
      <c r="J118" s="8">
        <f>Table1[[#This Row],[Bugs+Envelope Weight]]-Table1[[#This Row],[Envelope+Staple weight]]</f>
        <v>0.29100000000000004</v>
      </c>
      <c r="K118" s="25">
        <f>Table1[[#This Row],[Insect_Weight]]/Table1[[#This Row],[Quantity]]</f>
        <v>9.7000000000000017E-2</v>
      </c>
      <c r="L118" s="8">
        <v>0.74299999999999999</v>
      </c>
      <c r="M118" s="8" t="b">
        <f t="shared" si="3"/>
        <v>1</v>
      </c>
      <c r="N118" s="8">
        <v>0.75</v>
      </c>
      <c r="O118" s="8">
        <f>Table1[[#This Row],[Dry_Weight_Final]]-Table1[[#This Row],[Envelope+Staple weight]]</f>
        <v>9.3999999999999972E-2</v>
      </c>
      <c r="P118" s="10">
        <f>0.7188/4*3</f>
        <v>0.53910000000000002</v>
      </c>
      <c r="Q118" s="38">
        <f>Table1[[#This Row],[Lipid Free Weight with envelope]]-Table1[[#This Row],[Envelope+Staple weight]]</f>
        <v>-0.1169</v>
      </c>
      <c r="R118" s="38">
        <f>Table1[[#This Row],[Insect_Weight]]-Table1[[#This Row],[Lipid_Free_Weight]]</f>
        <v>0.40790000000000004</v>
      </c>
      <c r="S118" t="s">
        <v>124</v>
      </c>
    </row>
    <row r="119" spans="1:19" x14ac:dyDescent="0.25">
      <c r="A119" t="s">
        <v>120</v>
      </c>
      <c r="B119" s="7">
        <v>45883</v>
      </c>
      <c r="C119" s="8" t="s">
        <v>96</v>
      </c>
      <c r="D119" s="8" t="s">
        <v>101</v>
      </c>
      <c r="E119" s="8" t="str">
        <f>Table1[[#This Row],[Family]]&amp;Table1[[#This Row],[Size]]</f>
        <v>Noctuidae&gt;1</v>
      </c>
      <c r="F119" s="8" t="s">
        <v>107</v>
      </c>
      <c r="G119" s="8">
        <v>12</v>
      </c>
      <c r="H119" s="8">
        <v>0.68100000000000005</v>
      </c>
      <c r="I119" s="8">
        <v>1.8360000000000001</v>
      </c>
      <c r="J119" s="8">
        <f>Table1[[#This Row],[Bugs+Envelope Weight]]-Table1[[#This Row],[Envelope+Staple weight]]</f>
        <v>1.155</v>
      </c>
      <c r="K119" s="25">
        <f>Table1[[#This Row],[Insect_Weight]]/Table1[[#This Row],[Quantity]]</f>
        <v>9.6250000000000002E-2</v>
      </c>
      <c r="L119" s="8">
        <v>1.069</v>
      </c>
      <c r="M119" s="8" t="b">
        <f t="shared" si="3"/>
        <v>1</v>
      </c>
      <c r="N119" s="8">
        <v>1.069</v>
      </c>
      <c r="O119" s="8">
        <f>Table1[[#This Row],[Dry_Weight_Final]]-Table1[[#This Row],[Envelope+Staple weight]]</f>
        <v>0.3879999999999999</v>
      </c>
      <c r="P119" s="10">
        <v>1.046</v>
      </c>
      <c r="Q119" s="38">
        <f>Table1[[#This Row],[Lipid Free Weight with envelope]]-Table1[[#This Row],[Envelope+Staple weight]]</f>
        <v>0.36499999999999999</v>
      </c>
      <c r="R119" s="38">
        <f>Table1[[#This Row],[Insect_Weight]]-Table1[[#This Row],[Lipid_Free_Weight]]</f>
        <v>0.79</v>
      </c>
    </row>
    <row r="120" spans="1:19" x14ac:dyDescent="0.25">
      <c r="A120" t="s">
        <v>120</v>
      </c>
      <c r="B120" s="7">
        <v>45873</v>
      </c>
      <c r="C120" s="8" t="s">
        <v>105</v>
      </c>
      <c r="D120" s="8" t="s">
        <v>28</v>
      </c>
      <c r="E120" s="8" t="str">
        <f>Table1[[#This Row],[Family]]&amp;Table1[[#This Row],[Size]]</f>
        <v>Elateridae</v>
      </c>
      <c r="F120" s="8"/>
      <c r="G120" s="8">
        <v>4</v>
      </c>
      <c r="H120" s="8">
        <v>0.432</v>
      </c>
      <c r="I120" s="8">
        <v>0.70399999999999996</v>
      </c>
      <c r="J120" s="8">
        <f>Table1[[#This Row],[Bugs+Envelope Weight]]-Table1[[#This Row],[Envelope+Staple weight]]</f>
        <v>0.27199999999999996</v>
      </c>
      <c r="K120" s="25">
        <f>Table1[[#This Row],[Insect_Weight]]/Table1[[#This Row],[Quantity]]</f>
        <v>6.7999999999999991E-2</v>
      </c>
      <c r="L120" s="8">
        <v>0.52100000000000002</v>
      </c>
      <c r="M120" s="8" t="b">
        <f t="shared" si="3"/>
        <v>1</v>
      </c>
      <c r="N120" s="8">
        <v>0.52300000000000002</v>
      </c>
      <c r="O120" s="38">
        <f>Table1[[#This Row],[Dry_Weight_Final]]-Table1[[#This Row],[Envelope+Staple weight]]</f>
        <v>9.1000000000000025E-2</v>
      </c>
      <c r="P120" s="36">
        <v>0.51400000000000001</v>
      </c>
      <c r="Q120" s="42">
        <f>Table1[[#This Row],[Lipid Free Weight with envelope]]-Table1[[#This Row],[Envelope+Staple weight]]</f>
        <v>8.2000000000000017E-2</v>
      </c>
      <c r="R120" s="42">
        <f>Table1[[#This Row],[Insect_Weight]]-Table1[[#This Row],[Lipid_Free_Weight]]</f>
        <v>0.18999999999999995</v>
      </c>
    </row>
    <row r="121" spans="1:19" x14ac:dyDescent="0.25">
      <c r="A121" t="s">
        <v>120</v>
      </c>
      <c r="B121" s="7">
        <v>45883</v>
      </c>
      <c r="C121" s="8" t="s">
        <v>96</v>
      </c>
      <c r="D121" s="8" t="s">
        <v>100</v>
      </c>
      <c r="E121" s="8" t="str">
        <f>Table1[[#This Row],[Family]]&amp;Table1[[#This Row],[Size]]</f>
        <v>Crambidae&gt;1</v>
      </c>
      <c r="F121" s="8" t="s">
        <v>107</v>
      </c>
      <c r="G121" s="8">
        <v>20</v>
      </c>
      <c r="H121" s="8">
        <v>0.67</v>
      </c>
      <c r="I121" s="8">
        <v>1.0900000000000001</v>
      </c>
      <c r="J121" s="8">
        <f>Table1[[#This Row],[Bugs+Envelope Weight]]-Table1[[#This Row],[Envelope+Staple weight]]</f>
        <v>0.42000000000000004</v>
      </c>
      <c r="K121" s="25">
        <f>Table1[[#This Row],[Insect_Weight]]/Table1[[#This Row],[Quantity]]</f>
        <v>2.1000000000000001E-2</v>
      </c>
      <c r="L121" s="8">
        <v>0.82299999999999995</v>
      </c>
      <c r="M121" s="8" t="b">
        <f t="shared" si="3"/>
        <v>1</v>
      </c>
      <c r="N121" s="8">
        <v>0.82299999999999995</v>
      </c>
      <c r="O121" s="8">
        <f>Table1[[#This Row],[Dry_Weight_Final]]-Table1[[#This Row],[Envelope+Staple weight]]</f>
        <v>0.15299999999999991</v>
      </c>
      <c r="P121" s="10">
        <v>0.80400000000000005</v>
      </c>
      <c r="Q121" s="38">
        <f>Table1[[#This Row],[Lipid Free Weight with envelope]]-Table1[[#This Row],[Envelope+Staple weight]]</f>
        <v>0.13400000000000001</v>
      </c>
      <c r="R121" s="38">
        <f>Table1[[#This Row],[Insect_Weight]]-Table1[[#This Row],[Lipid_Free_Weight]]</f>
        <v>0.28600000000000003</v>
      </c>
    </row>
    <row r="122" spans="1:19" x14ac:dyDescent="0.25">
      <c r="A122" t="s">
        <v>120</v>
      </c>
      <c r="B122" s="7">
        <v>45873</v>
      </c>
      <c r="C122" s="8" t="s">
        <v>96</v>
      </c>
      <c r="D122" s="8" t="s">
        <v>109</v>
      </c>
      <c r="E122" s="8" t="str">
        <f>Table1[[#This Row],[Family]]&amp;Table1[[#This Row],[Size]]</f>
        <v>Erebidae&gt;1</v>
      </c>
      <c r="F122" s="8" t="s">
        <v>107</v>
      </c>
      <c r="G122" s="8">
        <v>15</v>
      </c>
      <c r="H122" s="8">
        <v>0.68600000000000005</v>
      </c>
      <c r="I122" s="8">
        <v>1.31</v>
      </c>
      <c r="J122" s="8">
        <f>Table1[[#This Row],[Bugs+Envelope Weight]]-Table1[[#This Row],[Envelope+Staple weight]]</f>
        <v>0.624</v>
      </c>
      <c r="K122" s="25">
        <f>Table1[[#This Row],[Insect_Weight]]/Table1[[#This Row],[Quantity]]</f>
        <v>4.1599999999999998E-2</v>
      </c>
      <c r="L122" s="8">
        <v>0.89100000000000001</v>
      </c>
      <c r="M122" s="8" t="b">
        <f t="shared" si="3"/>
        <v>1</v>
      </c>
      <c r="N122" s="8">
        <v>0.88800000000000001</v>
      </c>
      <c r="O122" s="8">
        <f>Table1[[#This Row],[Dry_Weight_Final]]-Table1[[#This Row],[Envelope+Staple weight]]</f>
        <v>0.20199999999999996</v>
      </c>
      <c r="P122" s="10">
        <v>0.871</v>
      </c>
      <c r="Q122" s="38">
        <f>Table1[[#This Row],[Lipid Free Weight with envelope]]-Table1[[#This Row],[Envelope+Staple weight]]</f>
        <v>0.18499999999999994</v>
      </c>
      <c r="R122" s="38">
        <f>Table1[[#This Row],[Insect_Weight]]-Table1[[#This Row],[Lipid_Free_Weight]]</f>
        <v>0.43900000000000006</v>
      </c>
    </row>
    <row r="123" spans="1:19" x14ac:dyDescent="0.25">
      <c r="A123" t="s">
        <v>120</v>
      </c>
      <c r="B123" s="7">
        <v>45883</v>
      </c>
      <c r="C123" s="8" t="s">
        <v>96</v>
      </c>
      <c r="D123" s="8" t="s">
        <v>101</v>
      </c>
      <c r="E123" s="8" t="str">
        <f>Table1[[#This Row],[Family]]&amp;Table1[[#This Row],[Size]]</f>
        <v>Noctuidae&lt;1</v>
      </c>
      <c r="F123" s="8" t="s">
        <v>98</v>
      </c>
      <c r="G123" s="8">
        <v>10</v>
      </c>
      <c r="H123" s="8">
        <v>0.67200000000000004</v>
      </c>
      <c r="I123" s="8">
        <v>1.147</v>
      </c>
      <c r="J123" s="8">
        <f>Table1[[#This Row],[Bugs+Envelope Weight]]-Table1[[#This Row],[Envelope+Staple weight]]</f>
        <v>0.47499999999999998</v>
      </c>
      <c r="K123" s="25">
        <f>Table1[[#This Row],[Insect_Weight]]/Table1[[#This Row],[Quantity]]</f>
        <v>4.7500000000000001E-2</v>
      </c>
      <c r="L123" s="8">
        <v>0.81100000000000005</v>
      </c>
      <c r="M123" s="8" t="b">
        <f t="shared" si="3"/>
        <v>1</v>
      </c>
      <c r="N123" s="8">
        <v>0.81</v>
      </c>
      <c r="O123" s="8">
        <f>Table1[[#This Row],[Dry_Weight_Final]]-Table1[[#This Row],[Envelope+Staple weight]]</f>
        <v>0.13800000000000001</v>
      </c>
      <c r="P123" s="10">
        <v>0.79800000000000004</v>
      </c>
      <c r="Q123" s="38">
        <f>Table1[[#This Row],[Lipid Free Weight with envelope]]-Table1[[#This Row],[Envelope+Staple weight]]</f>
        <v>0.126</v>
      </c>
      <c r="R123" s="38">
        <f>Table1[[#This Row],[Insect_Weight]]-Table1[[#This Row],[Lipid_Free_Weight]]</f>
        <v>0.34899999999999998</v>
      </c>
    </row>
    <row r="124" spans="1:19" x14ac:dyDescent="0.25">
      <c r="A124" t="s">
        <v>120</v>
      </c>
      <c r="B124" s="7">
        <v>45883</v>
      </c>
      <c r="C124" s="8" t="s">
        <v>96</v>
      </c>
      <c r="D124" s="8" t="s">
        <v>121</v>
      </c>
      <c r="E124" s="38" t="str">
        <f>Table1[[#This Row],[Family]]&amp;Table1[[#This Row],[Size]]</f>
        <v>lasiocampidae</v>
      </c>
      <c r="F124" s="9"/>
      <c r="G124" s="8">
        <v>3</v>
      </c>
      <c r="H124" s="8">
        <v>0.67</v>
      </c>
      <c r="I124" s="8">
        <v>0.88200000000000001</v>
      </c>
      <c r="J124" s="8">
        <f>Table1[[#This Row],[Bugs+Envelope Weight]]-Table1[[#This Row],[Envelope+Staple weight]]</f>
        <v>0.21199999999999997</v>
      </c>
      <c r="K124" s="25">
        <f>Table1[[#This Row],[Insect_Weight]]/Table1[[#This Row],[Quantity]]</f>
        <v>7.0666666666666655E-2</v>
      </c>
      <c r="L124" s="8">
        <v>0.747</v>
      </c>
      <c r="M124" s="8" t="b">
        <f t="shared" si="3"/>
        <v>1</v>
      </c>
      <c r="N124" s="8">
        <v>0.74399999999999999</v>
      </c>
      <c r="O124" s="8">
        <f>Table1[[#This Row],[Dry_Weight_Final]]-Table1[[#This Row],[Envelope+Staple weight]]</f>
        <v>7.3999999999999955E-2</v>
      </c>
      <c r="P124" s="10">
        <v>0.70699999999999996</v>
      </c>
      <c r="Q124" s="38">
        <f>Table1[[#This Row],[Lipid Free Weight with envelope]]-Table1[[#This Row],[Envelope+Staple weight]]</f>
        <v>3.6999999999999922E-2</v>
      </c>
      <c r="R124" s="38">
        <f>Table1[[#This Row],[Insect_Weight]]-Table1[[#This Row],[Lipid_Free_Weight]]</f>
        <v>0.17500000000000004</v>
      </c>
    </row>
    <row r="125" spans="1:19" x14ac:dyDescent="0.25">
      <c r="A125" t="s">
        <v>120</v>
      </c>
      <c r="B125" s="7">
        <v>45873</v>
      </c>
      <c r="C125" s="8" t="s">
        <v>96</v>
      </c>
      <c r="D125" s="8" t="s">
        <v>97</v>
      </c>
      <c r="E125" s="8" t="str">
        <f>Table1[[#This Row],[Family]]&amp;Table1[[#This Row],[Size]]</f>
        <v>Geometridae&gt;1</v>
      </c>
      <c r="F125" s="8" t="s">
        <v>107</v>
      </c>
      <c r="G125" s="8">
        <v>10</v>
      </c>
      <c r="H125" s="8">
        <v>0.68300000000000005</v>
      </c>
      <c r="I125" s="8">
        <v>0.82199999999999995</v>
      </c>
      <c r="J125" s="8">
        <f>Table1[[#This Row],[Bugs+Envelope Weight]]-Table1[[#This Row],[Envelope+Staple weight]]</f>
        <v>0.1389999999999999</v>
      </c>
      <c r="K125" s="25">
        <f>Table1[[#This Row],[Insect_Weight]]/Table1[[#This Row],[Quantity]]</f>
        <v>1.389999999999999E-2</v>
      </c>
      <c r="L125" s="8">
        <v>0.71399999999999997</v>
      </c>
      <c r="M125" s="8" t="b">
        <f t="shared" si="3"/>
        <v>1</v>
      </c>
      <c r="N125" s="8">
        <v>0.71399999999999997</v>
      </c>
      <c r="O125" s="8">
        <f>Table1[[#This Row],[Dry_Weight_Final]]-Table1[[#This Row],[Envelope+Staple weight]]</f>
        <v>3.0999999999999917E-2</v>
      </c>
      <c r="P125" s="10">
        <v>0.70299999999999996</v>
      </c>
      <c r="Q125" s="38">
        <f>Table1[[#This Row],[Lipid Free Weight with envelope]]-Table1[[#This Row],[Envelope+Staple weight]]</f>
        <v>1.9999999999999907E-2</v>
      </c>
      <c r="R125" s="38">
        <f>Table1[[#This Row],[Insect_Weight]]-Table1[[#This Row],[Lipid_Free_Weight]]</f>
        <v>0.11899999999999999</v>
      </c>
    </row>
    <row r="126" spans="1:19" x14ac:dyDescent="0.25">
      <c r="A126" t="s">
        <v>120</v>
      </c>
      <c r="B126" s="7">
        <v>45873</v>
      </c>
      <c r="C126" s="8" t="s">
        <v>96</v>
      </c>
      <c r="D126" s="8" t="s">
        <v>100</v>
      </c>
      <c r="E126" s="8" t="str">
        <f>Table1[[#This Row],[Family]]&amp;Table1[[#This Row],[Size]]</f>
        <v>Crambidae&gt;1</v>
      </c>
      <c r="F126" s="8" t="s">
        <v>107</v>
      </c>
      <c r="G126" s="8">
        <v>11</v>
      </c>
      <c r="H126" s="8">
        <v>0.443</v>
      </c>
      <c r="I126" s="8">
        <v>0.623</v>
      </c>
      <c r="J126" s="8">
        <f>Table1[[#This Row],[Bugs+Envelope Weight]]-Table1[[#This Row],[Envelope+Staple weight]]</f>
        <v>0.18</v>
      </c>
      <c r="K126" s="25">
        <f>Table1[[#This Row],[Insect_Weight]]/Table1[[#This Row],[Quantity]]</f>
        <v>1.6363636363636361E-2</v>
      </c>
      <c r="L126" s="8">
        <v>0.50800000000000001</v>
      </c>
      <c r="M126" s="8" t="b">
        <f t="shared" si="3"/>
        <v>1</v>
      </c>
      <c r="N126" s="8">
        <v>0.50800000000000001</v>
      </c>
      <c r="O126" s="8">
        <f>Table1[[#This Row],[Dry_Weight_Final]]-Table1[[#This Row],[Envelope+Staple weight]]</f>
        <v>6.5000000000000002E-2</v>
      </c>
      <c r="P126" s="10">
        <v>0.498</v>
      </c>
      <c r="Q126" s="38">
        <f>Table1[[#This Row],[Lipid Free Weight with envelope]]-Table1[[#This Row],[Envelope+Staple weight]]</f>
        <v>5.4999999999999993E-2</v>
      </c>
      <c r="R126" s="38">
        <f>Table1[[#This Row],[Insect_Weight]]-Table1[[#This Row],[Lipid_Free_Weight]]</f>
        <v>0.125</v>
      </c>
    </row>
    <row r="127" spans="1:19" x14ac:dyDescent="0.25">
      <c r="A127" t="s">
        <v>120</v>
      </c>
      <c r="B127" s="7">
        <v>45883</v>
      </c>
      <c r="C127" s="8" t="s">
        <v>96</v>
      </c>
      <c r="D127" s="8" t="s">
        <v>97</v>
      </c>
      <c r="E127" s="8" t="str">
        <f>Table1[[#This Row],[Family]]&amp;Table1[[#This Row],[Size]]</f>
        <v>Geometridae&gt;1</v>
      </c>
      <c r="F127" s="8" t="s">
        <v>107</v>
      </c>
      <c r="G127" s="8">
        <v>7</v>
      </c>
      <c r="H127" s="8">
        <v>0.68</v>
      </c>
      <c r="I127" s="8">
        <v>0.78900000000000003</v>
      </c>
      <c r="J127" s="8">
        <f>Table1[[#This Row],[Bugs+Envelope Weight]]-Table1[[#This Row],[Envelope+Staple weight]]</f>
        <v>0.10899999999999999</v>
      </c>
      <c r="K127" s="25">
        <f>Table1[[#This Row],[Insect_Weight]]/Table1[[#This Row],[Quantity]]</f>
        <v>1.5571428571428569E-2</v>
      </c>
      <c r="L127" s="8">
        <v>0.70099999999999996</v>
      </c>
      <c r="M127" s="8" t="b">
        <f t="shared" si="3"/>
        <v>1</v>
      </c>
      <c r="N127" s="8">
        <v>0.70099999999999996</v>
      </c>
      <c r="O127" s="8">
        <f>Table1[[#This Row],[Dry_Weight_Final]]-Table1[[#This Row],[Envelope+Staple weight]]</f>
        <v>2.0999999999999908E-2</v>
      </c>
      <c r="P127" s="10">
        <v>0.69299999999999995</v>
      </c>
      <c r="Q127" s="38">
        <f>Table1[[#This Row],[Lipid Free Weight with envelope]]-Table1[[#This Row],[Envelope+Staple weight]]</f>
        <v>1.2999999999999901E-2</v>
      </c>
      <c r="R127" s="38">
        <f>Table1[[#This Row],[Insect_Weight]]-Table1[[#This Row],[Lipid_Free_Weight]]</f>
        <v>9.6000000000000085E-2</v>
      </c>
    </row>
    <row r="128" spans="1:19" x14ac:dyDescent="0.25">
      <c r="A128" t="s">
        <v>120</v>
      </c>
      <c r="B128" s="7">
        <v>45873</v>
      </c>
      <c r="C128" s="8" t="s">
        <v>108</v>
      </c>
      <c r="D128" s="8" t="s">
        <v>23</v>
      </c>
      <c r="E128" s="8" t="str">
        <f>Table1[[#This Row],[Family]]&amp;Table1[[#This Row],[Size]]</f>
        <v>Phryganeidae</v>
      </c>
      <c r="F128" s="8"/>
      <c r="G128" s="8">
        <v>5</v>
      </c>
      <c r="H128" s="8">
        <v>0.67800000000000005</v>
      </c>
      <c r="I128" s="8">
        <v>0.874</v>
      </c>
      <c r="J128" s="8">
        <f>Table1[[#This Row],[Bugs+Envelope Weight]]-Table1[[#This Row],[Envelope+Staple weight]]</f>
        <v>0.19599999999999995</v>
      </c>
      <c r="K128" s="25">
        <f>Table1[[#This Row],[Insect_Weight]]/Table1[[#This Row],[Quantity]]</f>
        <v>3.9199999999999992E-2</v>
      </c>
      <c r="L128" s="8">
        <v>0.73399999999999999</v>
      </c>
      <c r="M128" s="8" t="b">
        <f t="shared" si="3"/>
        <v>1</v>
      </c>
      <c r="N128" s="8">
        <v>0.73599999999999999</v>
      </c>
      <c r="O128" s="8">
        <f>Table1[[#This Row],[Dry_Weight_Final]]-Table1[[#This Row],[Envelope+Staple weight]]</f>
        <v>5.799999999999994E-2</v>
      </c>
      <c r="P128" s="10">
        <v>0.72</v>
      </c>
      <c r="Q128" s="38">
        <f>Table1[[#This Row],[Lipid Free Weight with envelope]]-Table1[[#This Row],[Envelope+Staple weight]]</f>
        <v>4.1999999999999926E-2</v>
      </c>
      <c r="R128" s="38">
        <f>Table1[[#This Row],[Insect_Weight]]-Table1[[#This Row],[Lipid_Free_Weight]]</f>
        <v>0.15400000000000003</v>
      </c>
    </row>
    <row r="129" spans="1:19" x14ac:dyDescent="0.25">
      <c r="A129" t="s">
        <v>120</v>
      </c>
      <c r="B129" s="7">
        <v>45883</v>
      </c>
      <c r="C129" s="8" t="s">
        <v>96</v>
      </c>
      <c r="D129" s="8" t="s">
        <v>109</v>
      </c>
      <c r="E129" s="8" t="str">
        <f>Table1[[#This Row],[Family]]&amp;Table1[[#This Row],[Size]]</f>
        <v>Erebidae&gt;1</v>
      </c>
      <c r="F129" s="8" t="s">
        <v>107</v>
      </c>
      <c r="G129" s="8">
        <v>8</v>
      </c>
      <c r="H129" s="8">
        <v>0.68300000000000005</v>
      </c>
      <c r="I129" s="8">
        <v>0.92700000000000005</v>
      </c>
      <c r="J129" s="8">
        <f>Table1[[#This Row],[Bugs+Envelope Weight]]-Table1[[#This Row],[Envelope+Staple weight]]</f>
        <v>0.24399999999999999</v>
      </c>
      <c r="K129" s="25">
        <f>Table1[[#This Row],[Insect_Weight]]/Table1[[#This Row],[Quantity]]</f>
        <v>3.0499999999999999E-2</v>
      </c>
      <c r="L129" s="8">
        <v>0.755</v>
      </c>
      <c r="M129" s="8" t="b">
        <f t="shared" si="3"/>
        <v>1</v>
      </c>
      <c r="N129" s="8">
        <v>0.755</v>
      </c>
      <c r="O129" s="8">
        <f>Table1[[#This Row],[Dry_Weight_Final]]-Table1[[#This Row],[Envelope+Staple weight]]</f>
        <v>7.1999999999999953E-2</v>
      </c>
      <c r="P129" s="10">
        <v>0.74</v>
      </c>
      <c r="Q129" s="38">
        <f>Table1[[#This Row],[Lipid Free Weight with envelope]]-Table1[[#This Row],[Envelope+Staple weight]]</f>
        <v>5.699999999999994E-2</v>
      </c>
      <c r="R129" s="38">
        <f>Table1[[#This Row],[Insect_Weight]]-Table1[[#This Row],[Lipid_Free_Weight]]</f>
        <v>0.18700000000000006</v>
      </c>
    </row>
    <row r="130" spans="1:19" x14ac:dyDescent="0.25">
      <c r="A130" t="s">
        <v>120</v>
      </c>
      <c r="B130" s="7">
        <v>45873</v>
      </c>
      <c r="C130" s="8" t="s">
        <v>96</v>
      </c>
      <c r="D130" s="8" t="s">
        <v>101</v>
      </c>
      <c r="E130" s="8" t="str">
        <f>Table1[[#This Row],[Family]]&amp;Table1[[#This Row],[Size]]</f>
        <v>Noctuidae&gt;1</v>
      </c>
      <c r="F130" s="8" t="s">
        <v>107</v>
      </c>
      <c r="G130" s="8">
        <v>10</v>
      </c>
      <c r="H130" s="8">
        <v>0.67600000000000005</v>
      </c>
      <c r="I130" s="8">
        <v>1.8740000000000001</v>
      </c>
      <c r="J130" s="8">
        <f>Table1[[#This Row],[Bugs+Envelope Weight]]-Table1[[#This Row],[Envelope+Staple weight]]</f>
        <v>1.198</v>
      </c>
      <c r="K130" s="25">
        <f>Table1[[#This Row],[Insect_Weight]]/Table1[[#This Row],[Quantity]]</f>
        <v>0.11979999999999999</v>
      </c>
      <c r="L130" s="8">
        <v>1.0529999999999999</v>
      </c>
      <c r="M130" s="8" t="b">
        <f t="shared" ref="M130:M161" si="4">L130&lt;I130</f>
        <v>1</v>
      </c>
      <c r="N130" s="8">
        <v>1.0529999999999999</v>
      </c>
      <c r="O130" s="38">
        <f>Table1[[#This Row],[Dry_Weight_Final]]-Table1[[#This Row],[Envelope+Staple weight]]</f>
        <v>0.37699999999999989</v>
      </c>
      <c r="P130" s="35">
        <v>0.1021</v>
      </c>
      <c r="Q130" s="41">
        <f>Table1[[#This Row],[Lipid Free Weight with envelope]]-Table1[[#This Row],[Envelope+Staple weight]]</f>
        <v>-0.57390000000000008</v>
      </c>
      <c r="R130" s="41">
        <f>Table1[[#This Row],[Insect_Weight]]-Table1[[#This Row],[Lipid_Free_Weight]]</f>
        <v>1.7719</v>
      </c>
    </row>
    <row r="131" spans="1:19" x14ac:dyDescent="0.25">
      <c r="A131" t="s">
        <v>120</v>
      </c>
      <c r="B131" s="7">
        <v>45873</v>
      </c>
      <c r="C131" s="8" t="s">
        <v>105</v>
      </c>
      <c r="D131" s="8" t="s">
        <v>29</v>
      </c>
      <c r="E131" s="8" t="str">
        <f>Table1[[#This Row],[Family]]&amp;Table1[[#This Row],[Size]]</f>
        <v>Silphidae</v>
      </c>
      <c r="F131" s="8"/>
      <c r="G131" s="8">
        <v>1</v>
      </c>
      <c r="H131" s="8">
        <v>0.67900000000000005</v>
      </c>
      <c r="I131" s="8">
        <v>0.93700000000000006</v>
      </c>
      <c r="J131" s="8">
        <f>Table1[[#This Row],[Bugs+Envelope Weight]]-Table1[[#This Row],[Envelope+Staple weight]]</f>
        <v>0.25800000000000001</v>
      </c>
      <c r="K131" s="25">
        <f>Table1[[#This Row],[Insect_Weight]]/Table1[[#This Row],[Quantity]]</f>
        <v>0.25800000000000001</v>
      </c>
      <c r="L131" s="8">
        <v>0.77400000000000002</v>
      </c>
      <c r="M131" s="8" t="b">
        <f t="shared" si="4"/>
        <v>1</v>
      </c>
      <c r="N131" s="8">
        <v>0.77500000000000002</v>
      </c>
      <c r="O131" s="8">
        <f>Table1[[#This Row],[Dry_Weight_Final]]-Table1[[#This Row],[Envelope+Staple weight]]</f>
        <v>9.5999999999999974E-2</v>
      </c>
      <c r="P131" s="10">
        <v>0.75700000000000001</v>
      </c>
      <c r="Q131" s="38">
        <f>Table1[[#This Row],[Lipid Free Weight with envelope]]-Table1[[#This Row],[Envelope+Staple weight]]</f>
        <v>7.7999999999999958E-2</v>
      </c>
      <c r="R131" s="38">
        <f>Table1[[#This Row],[Insect_Weight]]-Table1[[#This Row],[Lipid_Free_Weight]]</f>
        <v>0.18000000000000005</v>
      </c>
    </row>
    <row r="132" spans="1:19" x14ac:dyDescent="0.25">
      <c r="A132" t="s">
        <v>120</v>
      </c>
      <c r="B132" s="37" t="s">
        <v>102</v>
      </c>
      <c r="C132" t="s">
        <v>96</v>
      </c>
      <c r="D132" t="s">
        <v>100</v>
      </c>
      <c r="E132" t="str">
        <f>Table1[[#This Row],[Family]]&amp;Table1[[#This Row],[Size]]</f>
        <v>Crambidae&gt;1</v>
      </c>
      <c r="F132" t="s">
        <v>107</v>
      </c>
      <c r="G132">
        <v>7</v>
      </c>
      <c r="H132">
        <v>0.65800000000000003</v>
      </c>
      <c r="I132">
        <v>0.76800000000000002</v>
      </c>
      <c r="J132" s="8">
        <f>Table1[[#This Row],[Bugs+Envelope Weight]]-Table1[[#This Row],[Envelope+Staple weight]]</f>
        <v>0.10999999999999999</v>
      </c>
      <c r="K132" s="28">
        <f>Table1[[#This Row],[Insect_Weight]]/Table1[[#This Row],[Quantity]]</f>
        <v>1.5714285714285712E-2</v>
      </c>
      <c r="L132">
        <v>0.68500000000000005</v>
      </c>
      <c r="M132" t="b">
        <f t="shared" si="4"/>
        <v>1</v>
      </c>
      <c r="N132">
        <v>0.68500000000000005</v>
      </c>
      <c r="O132">
        <f>Table1[[#This Row],[Dry_Weight_Final]]-Table1[[#This Row],[Envelope+Staple weight]]</f>
        <v>2.7000000000000024E-2</v>
      </c>
      <c r="P132">
        <v>0.67400000000000004</v>
      </c>
      <c r="Q132">
        <f>Table1[[#This Row],[Lipid Free Weight with envelope]]-Table1[[#This Row],[Envelope+Staple weight]]</f>
        <v>1.6000000000000014E-2</v>
      </c>
      <c r="R132">
        <f>Table1[[#This Row],[Insect_Weight]]-Table1[[#This Row],[Lipid_Free_Weight]]</f>
        <v>9.3999999999999972E-2</v>
      </c>
    </row>
    <row r="133" spans="1:19" x14ac:dyDescent="0.25">
      <c r="A133" t="s">
        <v>120</v>
      </c>
      <c r="B133" s="16">
        <v>45873</v>
      </c>
      <c r="C133" s="15" t="s">
        <v>96</v>
      </c>
      <c r="D133" s="15" t="s">
        <v>117</v>
      </c>
      <c r="E133" s="15" t="str">
        <f>Table1[[#This Row],[Family]]&amp;Table1[[#This Row],[Size]]</f>
        <v>Tortricidae&lt;1</v>
      </c>
      <c r="F133" s="15" t="s">
        <v>98</v>
      </c>
      <c r="G133" s="15">
        <v>43</v>
      </c>
      <c r="H133" s="15">
        <v>0.67300000000000004</v>
      </c>
      <c r="I133" s="15">
        <v>0.80800000000000005</v>
      </c>
      <c r="J133" s="8">
        <f>Table1[[#This Row],[Bugs+Envelope Weight]]-Table1[[#This Row],[Envelope+Staple weight]]</f>
        <v>0.13500000000000001</v>
      </c>
      <c r="K133" s="26">
        <f>Table1[[#This Row],[Insect_Weight]]/Table1[[#This Row],[Quantity]]</f>
        <v>3.1395348837209304E-3</v>
      </c>
      <c r="L133" s="15">
        <v>0.71099999999999997</v>
      </c>
      <c r="M133" s="15" t="b">
        <f t="shared" si="4"/>
        <v>1</v>
      </c>
      <c r="N133" s="15">
        <v>0.71099999999999997</v>
      </c>
      <c r="O133" s="15">
        <f>Table1[[#This Row],[Dry_Weight_Final]]-Table1[[#This Row],[Envelope+Staple weight]]</f>
        <v>3.7999999999999923E-2</v>
      </c>
      <c r="P133" s="17">
        <v>0.69</v>
      </c>
      <c r="Q133" s="38">
        <f>Table1[[#This Row],[Lipid Free Weight with envelope]]-Table1[[#This Row],[Envelope+Staple weight]]</f>
        <v>1.6999999999999904E-2</v>
      </c>
      <c r="R133" s="38">
        <f>Table1[[#This Row],[Insect_Weight]]-Table1[[#This Row],[Lipid_Free_Weight]]</f>
        <v>0.1180000000000001</v>
      </c>
    </row>
    <row r="134" spans="1:19" x14ac:dyDescent="0.25">
      <c r="A134" t="s">
        <v>120</v>
      </c>
      <c r="B134" s="16">
        <v>45883</v>
      </c>
      <c r="C134" s="15" t="s">
        <v>96</v>
      </c>
      <c r="D134" s="15" t="s">
        <v>117</v>
      </c>
      <c r="E134" s="15" t="str">
        <f>Table1[[#This Row],[Family]]&amp;Table1[[#This Row],[Size]]</f>
        <v>Tortricidae&lt;1</v>
      </c>
      <c r="F134" s="15" t="s">
        <v>98</v>
      </c>
      <c r="G134" s="15">
        <f>13+4+1+2+4</f>
        <v>24</v>
      </c>
      <c r="H134" s="15">
        <v>0.434</v>
      </c>
      <c r="I134" s="15">
        <f>0.492+0.038+0.011+0.009+0.021</f>
        <v>0.57100000000000006</v>
      </c>
      <c r="J134" s="8">
        <f>Table1[[#This Row],[Bugs+Envelope Weight]]-Table1[[#This Row],[Envelope+Staple weight]]</f>
        <v>0.13700000000000007</v>
      </c>
      <c r="K134" s="26">
        <f>Table1[[#This Row],[Insect_Weight]]/Table1[[#This Row],[Quantity]]</f>
        <v>5.7083333333333361E-3</v>
      </c>
      <c r="L134" s="15">
        <v>0.47899999999999998</v>
      </c>
      <c r="M134" s="15" t="b">
        <f t="shared" si="4"/>
        <v>1</v>
      </c>
      <c r="N134" s="15">
        <v>0.47799999999999998</v>
      </c>
      <c r="O134" s="15">
        <f>Table1[[#This Row],[Dry_Weight_Final]]-Table1[[#This Row],[Envelope+Staple weight]]</f>
        <v>4.3999999999999984E-2</v>
      </c>
      <c r="P134" s="17">
        <v>0.46899999999999997</v>
      </c>
      <c r="Q134" s="38">
        <f>Table1[[#This Row],[Lipid Free Weight with envelope]]-Table1[[#This Row],[Envelope+Staple weight]]</f>
        <v>3.4999999999999976E-2</v>
      </c>
      <c r="R134" s="38">
        <f>Table1[[#This Row],[Insect_Weight]]-Table1[[#This Row],[Lipid_Free_Weight]]</f>
        <v>0.10200000000000009</v>
      </c>
      <c r="S134" t="s">
        <v>122</v>
      </c>
    </row>
    <row r="135" spans="1:19" x14ac:dyDescent="0.25">
      <c r="A135" t="s">
        <v>120</v>
      </c>
      <c r="B135" s="16">
        <v>45873</v>
      </c>
      <c r="C135" s="15" t="s">
        <v>96</v>
      </c>
      <c r="D135" s="15" t="s">
        <v>101</v>
      </c>
      <c r="E135" s="15" t="str">
        <f>Table1[[#This Row],[Family]]&amp;Table1[[#This Row],[Size]]</f>
        <v>Noctuidae&lt;1</v>
      </c>
      <c r="F135" s="15" t="s">
        <v>98</v>
      </c>
      <c r="G135" s="15">
        <f>6+8</f>
        <v>14</v>
      </c>
      <c r="H135" s="15">
        <v>0.69299999999999995</v>
      </c>
      <c r="I135" s="15">
        <f>0.743+0.413</f>
        <v>1.1559999999999999</v>
      </c>
      <c r="J135" s="8">
        <f>Table1[[#This Row],[Bugs+Envelope Weight]]-Table1[[#This Row],[Envelope+Staple weight]]</f>
        <v>0.46299999999999997</v>
      </c>
      <c r="K135" s="26">
        <f>Table1[[#This Row],[Insect_Weight]]/Table1[[#This Row],[Quantity]]</f>
        <v>3.3071428571428571E-2</v>
      </c>
      <c r="L135" s="15">
        <v>0.80500000000000005</v>
      </c>
      <c r="M135" s="15" t="b">
        <f t="shared" si="4"/>
        <v>1</v>
      </c>
      <c r="N135" s="15">
        <v>0.80500000000000005</v>
      </c>
      <c r="O135" s="15">
        <f>Table1[[#This Row],[Dry_Weight_Final]]-Table1[[#This Row],[Envelope+Staple weight]]</f>
        <v>0.1120000000000001</v>
      </c>
      <c r="P135" s="17">
        <v>0.79400000000000004</v>
      </c>
      <c r="Q135" s="38">
        <f>Table1[[#This Row],[Lipid Free Weight with envelope]]-Table1[[#This Row],[Envelope+Staple weight]]</f>
        <v>0.10100000000000009</v>
      </c>
      <c r="R135" s="38">
        <f>Table1[[#This Row],[Insect_Weight]]-Table1[[#This Row],[Lipid_Free_Weight]]</f>
        <v>0.36199999999999988</v>
      </c>
      <c r="S135" t="s">
        <v>122</v>
      </c>
    </row>
    <row r="136" spans="1:19" x14ac:dyDescent="0.25">
      <c r="A136" t="s">
        <v>120</v>
      </c>
      <c r="B136" s="16">
        <v>45873</v>
      </c>
      <c r="C136" s="15" t="s">
        <v>108</v>
      </c>
      <c r="D136" s="15" t="s">
        <v>119</v>
      </c>
      <c r="E136" s="38" t="str">
        <f>Table1[[#This Row],[Family]]&amp;Table1[[#This Row],[Size]]</f>
        <v xml:space="preserve">Limnephilidae </v>
      </c>
      <c r="F136" s="9"/>
      <c r="G136" s="15">
        <f>3+8+3</f>
        <v>14</v>
      </c>
      <c r="H136" s="15">
        <v>0.67600000000000005</v>
      </c>
      <c r="I136" s="15">
        <f>0.747+0.176+0.077</f>
        <v>1</v>
      </c>
      <c r="J136" s="8">
        <f>Table1[[#This Row],[Bugs+Envelope Weight]]-Table1[[#This Row],[Envelope+Staple weight]]</f>
        <v>0.32399999999999995</v>
      </c>
      <c r="K136" s="26">
        <f>Table1[[#This Row],[Insect_Weight]]/Table1[[#This Row],[Quantity]]</f>
        <v>2.3142857142857139E-2</v>
      </c>
      <c r="L136" s="15">
        <v>0.75700000000000001</v>
      </c>
      <c r="M136" s="15" t="b">
        <f t="shared" si="4"/>
        <v>1</v>
      </c>
      <c r="N136" s="15">
        <v>0.75600000000000001</v>
      </c>
      <c r="O136" s="15">
        <f>Table1[[#This Row],[Dry_Weight_Final]]-Table1[[#This Row],[Envelope+Staple weight]]</f>
        <v>7.999999999999996E-2</v>
      </c>
      <c r="P136" s="17">
        <v>0.745</v>
      </c>
      <c r="Q136" s="38">
        <f>Table1[[#This Row],[Lipid Free Weight with envelope]]-Table1[[#This Row],[Envelope+Staple weight]]</f>
        <v>6.899999999999995E-2</v>
      </c>
      <c r="R136" s="38">
        <f>Table1[[#This Row],[Insect_Weight]]-Table1[[#This Row],[Lipid_Free_Weight]]</f>
        <v>0.255</v>
      </c>
      <c r="S136" t="s">
        <v>122</v>
      </c>
    </row>
    <row r="137" spans="1:19" x14ac:dyDescent="0.25">
      <c r="A137" t="s">
        <v>120</v>
      </c>
      <c r="B137" s="16">
        <v>45883</v>
      </c>
      <c r="C137" s="15" t="s">
        <v>123</v>
      </c>
      <c r="D137" s="15" t="s">
        <v>104</v>
      </c>
      <c r="E137" s="15" t="str">
        <f>Table1[[#This Row],[Family]]&amp;Table1[[#This Row],[Size]]</f>
        <v xml:space="preserve">Nematocera </v>
      </c>
      <c r="F137" s="15"/>
      <c r="G137" s="15">
        <f>62+87+2+4+136+56+7</f>
        <v>354</v>
      </c>
      <c r="H137" s="15">
        <v>0.68100000000000005</v>
      </c>
      <c r="I137" s="15">
        <f>0.701+0.737+0.018+0.076+0.033+0.018</f>
        <v>1.583</v>
      </c>
      <c r="J137" s="8">
        <f>Table1[[#This Row],[Bugs+Envelope Weight]]-Table1[[#This Row],[Envelope+Staple weight]]</f>
        <v>0.90199999999999991</v>
      </c>
      <c r="K137" s="26">
        <f>Table1[[#This Row],[Insect_Weight]]/Table1[[#This Row],[Quantity]]</f>
        <v>2.5480225988700565E-3</v>
      </c>
      <c r="L137" s="15">
        <v>0.78500000000000003</v>
      </c>
      <c r="M137" s="15" t="b">
        <f t="shared" si="4"/>
        <v>1</v>
      </c>
      <c r="N137" s="15">
        <v>0.78500000000000003</v>
      </c>
      <c r="O137" s="15">
        <f>Table1[[#This Row],[Dry_Weight_Final]]-Table1[[#This Row],[Envelope+Staple weight]]</f>
        <v>0.10399999999999998</v>
      </c>
      <c r="P137" s="17">
        <v>0.77500000000000002</v>
      </c>
      <c r="Q137" s="38">
        <f>Table1[[#This Row],[Lipid Free Weight with envelope]]-Table1[[#This Row],[Envelope+Staple weight]]</f>
        <v>9.3999999999999972E-2</v>
      </c>
      <c r="R137" s="38">
        <f>Table1[[#This Row],[Insect_Weight]]-Table1[[#This Row],[Lipid_Free_Weight]]</f>
        <v>0.80799999999999994</v>
      </c>
      <c r="S137" t="s">
        <v>122</v>
      </c>
    </row>
    <row r="138" spans="1:19" x14ac:dyDescent="0.25">
      <c r="A138" t="s">
        <v>120</v>
      </c>
      <c r="B138" s="16">
        <v>45873</v>
      </c>
      <c r="C138" s="15" t="s">
        <v>96</v>
      </c>
      <c r="D138" s="15" t="s">
        <v>18</v>
      </c>
      <c r="E138" s="15" t="str">
        <f>Table1[[#This Row],[Family]]&amp;Table1[[#This Row],[Size]]</f>
        <v>Notodontidae</v>
      </c>
      <c r="F138" s="15"/>
      <c r="G138" s="15">
        <v>5</v>
      </c>
      <c r="H138" s="15">
        <v>0.67200000000000004</v>
      </c>
      <c r="I138" s="15">
        <v>1.0549999999999999</v>
      </c>
      <c r="J138" s="8">
        <f>Table1[[#This Row],[Bugs+Envelope Weight]]-Table1[[#This Row],[Envelope+Staple weight]]</f>
        <v>0.3829999999999999</v>
      </c>
      <c r="K138" s="26">
        <f>Table1[[#This Row],[Insect_Weight]]/Table1[[#This Row],[Quantity]]</f>
        <v>7.6599999999999974E-2</v>
      </c>
      <c r="L138" s="15">
        <v>0.80100000000000005</v>
      </c>
      <c r="M138" s="15" t="b">
        <f t="shared" si="4"/>
        <v>1</v>
      </c>
      <c r="N138" s="15">
        <v>0.8</v>
      </c>
      <c r="O138" s="15">
        <f>Table1[[#This Row],[Dry_Weight_Final]]-Table1[[#This Row],[Envelope+Staple weight]]</f>
        <v>0.128</v>
      </c>
      <c r="P138" s="17">
        <v>0.74299999999999999</v>
      </c>
      <c r="Q138" s="38">
        <f>Table1[[#This Row],[Lipid Free Weight with envelope]]-Table1[[#This Row],[Envelope+Staple weight]]</f>
        <v>7.0999999999999952E-2</v>
      </c>
      <c r="R138" s="38">
        <f>Table1[[#This Row],[Insect_Weight]]-Table1[[#This Row],[Lipid_Free_Weight]]</f>
        <v>0.31199999999999994</v>
      </c>
    </row>
    <row r="139" spans="1:19" x14ac:dyDescent="0.25">
      <c r="A139" t="s">
        <v>120</v>
      </c>
      <c r="B139" s="16">
        <v>45883</v>
      </c>
      <c r="C139" s="15" t="s">
        <v>96</v>
      </c>
      <c r="D139" s="15" t="s">
        <v>18</v>
      </c>
      <c r="E139" s="15" t="str">
        <f>Table1[[#This Row],[Family]]&amp;Table1[[#This Row],[Size]]</f>
        <v>Notodontidae</v>
      </c>
      <c r="F139" s="15"/>
      <c r="G139" s="15">
        <v>2</v>
      </c>
      <c r="H139" s="15">
        <v>0.67300000000000004</v>
      </c>
      <c r="I139" s="15">
        <f>0.772+0.36</f>
        <v>1.1320000000000001</v>
      </c>
      <c r="J139" s="8">
        <f>Table1[[#This Row],[Bugs+Envelope Weight]]-Table1[[#This Row],[Envelope+Staple weight]]</f>
        <v>0.45900000000000007</v>
      </c>
      <c r="K139" s="26">
        <f>Table1[[#This Row],[Insect_Weight]]/Table1[[#This Row],[Quantity]]</f>
        <v>0.22950000000000004</v>
      </c>
      <c r="L139" s="15">
        <v>0.84299999999999997</v>
      </c>
      <c r="M139" s="15" t="b">
        <f t="shared" si="4"/>
        <v>1</v>
      </c>
      <c r="N139" s="15">
        <v>0.84299999999999997</v>
      </c>
      <c r="O139" s="15">
        <f>Table1[[#This Row],[Dry_Weight_Final]]-Table1[[#This Row],[Envelope+Staple weight]]</f>
        <v>0.16999999999999993</v>
      </c>
      <c r="P139" s="17">
        <v>0.78600000000000003</v>
      </c>
      <c r="Q139" s="38">
        <f>Table1[[#This Row],[Lipid Free Weight with envelope]]-Table1[[#This Row],[Envelope+Staple weight]]</f>
        <v>0.11299999999999999</v>
      </c>
      <c r="R139" s="38">
        <f>Table1[[#This Row],[Insect_Weight]]-Table1[[#This Row],[Lipid_Free_Weight]]</f>
        <v>0.34600000000000009</v>
      </c>
      <c r="S139" t="s">
        <v>122</v>
      </c>
    </row>
    <row r="140" spans="1:19" x14ac:dyDescent="0.25">
      <c r="A140" t="s">
        <v>120</v>
      </c>
      <c r="B140" s="16">
        <v>45873</v>
      </c>
      <c r="C140" s="15" t="s">
        <v>108</v>
      </c>
      <c r="D140" s="15" t="s">
        <v>21</v>
      </c>
      <c r="E140" s="15" t="str">
        <f>Table1[[#This Row],[Family]]&amp;Table1[[#This Row],[Size]]</f>
        <v>Leptoceridae</v>
      </c>
      <c r="F140" s="15"/>
      <c r="G140" s="15">
        <v>43</v>
      </c>
      <c r="H140" s="15">
        <v>0.71199999999999997</v>
      </c>
      <c r="I140" s="15">
        <v>0.89100000000000001</v>
      </c>
      <c r="J140" s="8">
        <f>Table1[[#This Row],[Bugs+Envelope Weight]]-Table1[[#This Row],[Envelope+Staple weight]]</f>
        <v>0.17900000000000005</v>
      </c>
      <c r="K140" s="26">
        <f>Table1[[#This Row],[Insect_Weight]]/Table1[[#This Row],[Quantity]]</f>
        <v>4.1627906976744195E-3</v>
      </c>
      <c r="L140" s="15">
        <v>0.76700000000000002</v>
      </c>
      <c r="M140" s="15" t="b">
        <f t="shared" si="4"/>
        <v>1</v>
      </c>
      <c r="N140" s="15">
        <v>0.76600000000000001</v>
      </c>
      <c r="O140" s="15">
        <f>Table1[[#This Row],[Dry_Weight_Final]]-Table1[[#This Row],[Envelope+Staple weight]]</f>
        <v>5.4000000000000048E-2</v>
      </c>
      <c r="P140" s="17">
        <v>0.75600000000000001</v>
      </c>
      <c r="Q140" s="38">
        <f>Table1[[#This Row],[Lipid Free Weight with envelope]]-Table1[[#This Row],[Envelope+Staple weight]]</f>
        <v>4.4000000000000039E-2</v>
      </c>
      <c r="R140" s="38">
        <f>Table1[[#This Row],[Insect_Weight]]-Table1[[#This Row],[Lipid_Free_Weight]]</f>
        <v>0.13500000000000001</v>
      </c>
    </row>
    <row r="141" spans="1:19" x14ac:dyDescent="0.25">
      <c r="A141" t="s">
        <v>120</v>
      </c>
      <c r="B141" s="16">
        <v>45873</v>
      </c>
      <c r="C141" s="15" t="s">
        <v>112</v>
      </c>
      <c r="D141" s="15" t="s">
        <v>25</v>
      </c>
      <c r="E141" s="15" t="str">
        <f>Table1[[#This Row],[Family]]&amp;Table1[[#This Row],[Size]]</f>
        <v>Caenidae</v>
      </c>
      <c r="F141" s="15"/>
      <c r="G141" s="15">
        <f>169+46</f>
        <v>215</v>
      </c>
      <c r="H141" s="15">
        <v>0.69499999999999995</v>
      </c>
      <c r="I141" s="15">
        <f>0.78+0.017</f>
        <v>0.79700000000000004</v>
      </c>
      <c r="J141" s="8">
        <f>Table1[[#This Row],[Bugs+Envelope Weight]]-Table1[[#This Row],[Envelope+Staple weight]]</f>
        <v>0.10200000000000009</v>
      </c>
      <c r="K141" s="26">
        <f>Table1[[#This Row],[Insect_Weight]]/Table1[[#This Row],[Quantity]]</f>
        <v>4.7441860465116323E-4</v>
      </c>
      <c r="L141" s="15">
        <v>0.74299999999999999</v>
      </c>
      <c r="M141" s="15" t="b">
        <f t="shared" si="4"/>
        <v>1</v>
      </c>
      <c r="N141" s="15">
        <v>0.74299999999999999</v>
      </c>
      <c r="O141" s="15">
        <f>Table1[[#This Row],[Dry_Weight_Final]]-Table1[[#This Row],[Envelope+Staple weight]]</f>
        <v>4.8000000000000043E-2</v>
      </c>
      <c r="P141" s="17">
        <v>0.73599999999999999</v>
      </c>
      <c r="Q141" s="38">
        <f>Table1[[#This Row],[Lipid Free Weight with envelope]]-Table1[[#This Row],[Envelope+Staple weight]]</f>
        <v>4.1000000000000036E-2</v>
      </c>
      <c r="R141" s="38">
        <f>Table1[[#This Row],[Insect_Weight]]-Table1[[#This Row],[Lipid_Free_Weight]]</f>
        <v>6.1000000000000054E-2</v>
      </c>
    </row>
    <row r="142" spans="1:19" x14ac:dyDescent="0.25">
      <c r="A142" t="s">
        <v>120</v>
      </c>
      <c r="B142" s="16">
        <v>45873</v>
      </c>
      <c r="C142" s="15" t="s">
        <v>96</v>
      </c>
      <c r="D142" s="15" t="s">
        <v>97</v>
      </c>
      <c r="E142" s="15" t="str">
        <f>Table1[[#This Row],[Family]]&amp;Table1[[#This Row],[Size]]</f>
        <v>Geometridae&lt;1</v>
      </c>
      <c r="F142" s="15" t="s">
        <v>98</v>
      </c>
      <c r="G142" s="15">
        <v>17</v>
      </c>
      <c r="H142" s="15">
        <v>0.67600000000000005</v>
      </c>
      <c r="I142" s="15">
        <v>0.83699999999999997</v>
      </c>
      <c r="J142" s="8">
        <f>Table1[[#This Row],[Bugs+Envelope Weight]]-Table1[[#This Row],[Envelope+Staple weight]]</f>
        <v>0.16099999999999992</v>
      </c>
      <c r="K142" s="26">
        <f>Table1[[#This Row],[Insect_Weight]]/Table1[[#This Row],[Quantity]]</f>
        <v>9.4705882352941126E-3</v>
      </c>
      <c r="L142" s="15">
        <v>0.71299999999999997</v>
      </c>
      <c r="M142" s="15" t="b">
        <f t="shared" si="4"/>
        <v>1</v>
      </c>
      <c r="N142" s="15">
        <v>0.71299999999999997</v>
      </c>
      <c r="O142" s="15">
        <f>Table1[[#This Row],[Dry_Weight_Final]]-Table1[[#This Row],[Envelope+Staple weight]]</f>
        <v>3.6999999999999922E-2</v>
      </c>
      <c r="P142" s="17">
        <v>0.70099999999999996</v>
      </c>
      <c r="Q142" s="38">
        <f>Table1[[#This Row],[Lipid Free Weight with envelope]]-Table1[[#This Row],[Envelope+Staple weight]]</f>
        <v>2.4999999999999911E-2</v>
      </c>
      <c r="R142" s="38">
        <f>Table1[[#This Row],[Insect_Weight]]-Table1[[#This Row],[Lipid_Free_Weight]]</f>
        <v>0.13600000000000001</v>
      </c>
    </row>
    <row r="143" spans="1:19" x14ac:dyDescent="0.25">
      <c r="A143" t="s">
        <v>120</v>
      </c>
      <c r="B143" s="37">
        <v>45894</v>
      </c>
      <c r="C143" t="s">
        <v>108</v>
      </c>
      <c r="D143" t="s">
        <v>23</v>
      </c>
      <c r="E143" t="str">
        <f>Table1[[#This Row],[Family]]&amp;Table1[[#This Row],[Size]]</f>
        <v>Phryganeidae</v>
      </c>
      <c r="G143">
        <v>6</v>
      </c>
      <c r="H143">
        <v>0.68200000000000005</v>
      </c>
      <c r="I143">
        <v>0.78600000000000003</v>
      </c>
      <c r="J143" s="8">
        <f>Table1[[#This Row],[Bugs+Envelope Weight]]-Table1[[#This Row],[Envelope+Staple weight]]</f>
        <v>0.10399999999999998</v>
      </c>
      <c r="K143" s="28">
        <f>Table1[[#This Row],[Insect_Weight]]/Table1[[#This Row],[Quantity]]</f>
        <v>1.7333333333333329E-2</v>
      </c>
      <c r="L143">
        <v>0.70399999999999996</v>
      </c>
      <c r="M143" t="b">
        <f t="shared" si="4"/>
        <v>1</v>
      </c>
      <c r="N143">
        <v>0.70499999999999996</v>
      </c>
      <c r="O143">
        <f>Table1[[#This Row],[Dry_Weight_Final]]-Table1[[#This Row],[Envelope+Staple weight]]</f>
        <v>2.2999999999999909E-2</v>
      </c>
      <c r="P143">
        <v>0.69299999999999995</v>
      </c>
      <c r="Q143">
        <f>Table1[[#This Row],[Lipid Free Weight with envelope]]-Table1[[#This Row],[Envelope+Staple weight]]</f>
        <v>1.0999999999999899E-2</v>
      </c>
      <c r="R143">
        <f>Table1[[#This Row],[Insect_Weight]]-Table1[[#This Row],[Lipid_Free_Weight]]</f>
        <v>9.3000000000000083E-2</v>
      </c>
    </row>
    <row r="144" spans="1:19" x14ac:dyDescent="0.25">
      <c r="A144" t="s">
        <v>120</v>
      </c>
      <c r="B144" s="16">
        <v>45873</v>
      </c>
      <c r="C144" s="15" t="s">
        <v>96</v>
      </c>
      <c r="D144" s="15" t="s">
        <v>100</v>
      </c>
      <c r="E144" s="15" t="str">
        <f>Table1[[#This Row],[Family]]&amp;Table1[[#This Row],[Size]]</f>
        <v>Crambidae&lt;1</v>
      </c>
      <c r="F144" s="15" t="s">
        <v>98</v>
      </c>
      <c r="G144" s="15">
        <v>29</v>
      </c>
      <c r="H144" s="15">
        <v>0.68600000000000005</v>
      </c>
      <c r="I144" s="15">
        <v>0.85699999999999998</v>
      </c>
      <c r="J144" s="8">
        <f>Table1[[#This Row],[Bugs+Envelope Weight]]-Table1[[#This Row],[Envelope+Staple weight]]</f>
        <v>0.17099999999999993</v>
      </c>
      <c r="K144" s="26">
        <f>Table1[[#This Row],[Insect_Weight]]/Table1[[#This Row],[Quantity]]</f>
        <v>5.8965517241379283E-3</v>
      </c>
      <c r="L144" s="15">
        <v>0.73</v>
      </c>
      <c r="M144" s="15" t="b">
        <f t="shared" si="4"/>
        <v>1</v>
      </c>
      <c r="N144" s="15">
        <v>0.73</v>
      </c>
      <c r="O144" s="15">
        <f>Table1[[#This Row],[Dry_Weight_Final]]-Table1[[#This Row],[Envelope+Staple weight]]</f>
        <v>4.3999999999999928E-2</v>
      </c>
      <c r="P144" s="17">
        <v>0.71599999999999997</v>
      </c>
      <c r="Q144" s="38">
        <f>Table1[[#This Row],[Lipid Free Weight with envelope]]-Table1[[#This Row],[Envelope+Staple weight]]</f>
        <v>2.9999999999999916E-2</v>
      </c>
      <c r="R144" s="38">
        <f>Table1[[#This Row],[Insect_Weight]]-Table1[[#This Row],[Lipid_Free_Weight]]</f>
        <v>0.14100000000000001</v>
      </c>
    </row>
    <row r="145" spans="1:19" x14ac:dyDescent="0.25">
      <c r="A145" t="s">
        <v>120</v>
      </c>
      <c r="B145" s="37">
        <v>45894</v>
      </c>
      <c r="C145" t="s">
        <v>96</v>
      </c>
      <c r="D145" t="s">
        <v>100</v>
      </c>
      <c r="E145" t="str">
        <f>Table1[[#This Row],[Family]]&amp;Table1[[#This Row],[Size]]</f>
        <v>Crambidae&lt;1</v>
      </c>
      <c r="F145" t="s">
        <v>98</v>
      </c>
      <c r="G145">
        <f>15+9+12</f>
        <v>36</v>
      </c>
      <c r="H145">
        <v>0.65700000000000003</v>
      </c>
      <c r="I145">
        <v>0.80300000000000005</v>
      </c>
      <c r="J145" s="8">
        <f>Table1[[#This Row],[Bugs+Envelope Weight]]-Table1[[#This Row],[Envelope+Staple weight]]</f>
        <v>0.14600000000000002</v>
      </c>
      <c r="K145" s="28">
        <f>Table1[[#This Row],[Insect_Weight]]/Table1[[#This Row],[Quantity]]</f>
        <v>4.0555555555555562E-3</v>
      </c>
      <c r="L145">
        <v>0.71299999999999997</v>
      </c>
      <c r="M145" t="b">
        <f t="shared" si="4"/>
        <v>1</v>
      </c>
      <c r="N145">
        <v>0.71399999999999997</v>
      </c>
      <c r="O145">
        <f>Table1[[#This Row],[Dry_Weight_Final]]-Table1[[#This Row],[Envelope+Staple weight]]</f>
        <v>5.699999999999994E-2</v>
      </c>
      <c r="P145">
        <v>0.69599999999999995</v>
      </c>
      <c r="Q145">
        <f>Table1[[#This Row],[Lipid Free Weight with envelope]]-Table1[[#This Row],[Envelope+Staple weight]]</f>
        <v>3.8999999999999924E-2</v>
      </c>
      <c r="R145">
        <f>Table1[[#This Row],[Insect_Weight]]-Table1[[#This Row],[Lipid_Free_Weight]]</f>
        <v>0.1070000000000001</v>
      </c>
    </row>
    <row r="146" spans="1:19" x14ac:dyDescent="0.25">
      <c r="A146" t="s">
        <v>120</v>
      </c>
      <c r="B146" s="37">
        <v>45870</v>
      </c>
      <c r="C146" t="s">
        <v>96</v>
      </c>
      <c r="D146" t="s">
        <v>97</v>
      </c>
      <c r="E146" t="str">
        <f>Table1[[#This Row],[Family]]&amp;Table1[[#This Row],[Size]]</f>
        <v>Geometridae&gt;1</v>
      </c>
      <c r="F146" t="s">
        <v>107</v>
      </c>
      <c r="G146">
        <v>7</v>
      </c>
      <c r="H146">
        <v>0.65400000000000003</v>
      </c>
      <c r="I146">
        <f>Table1[[#This Row],[Envelope+Staple weight]]+0.122</f>
        <v>0.77600000000000002</v>
      </c>
      <c r="J146" s="8">
        <f>Table1[[#This Row],[Bugs+Envelope Weight]]-Table1[[#This Row],[Envelope+Staple weight]]</f>
        <v>0.122</v>
      </c>
      <c r="K146" s="28">
        <f>Table1[[#This Row],[Insect_Weight]]/Table1[[#This Row],[Quantity]]</f>
        <v>1.7428571428571429E-2</v>
      </c>
      <c r="L146">
        <v>0.73699999999999999</v>
      </c>
      <c r="M146" t="b">
        <f t="shared" si="4"/>
        <v>1</v>
      </c>
      <c r="N146">
        <v>0.73699999999999999</v>
      </c>
      <c r="O146">
        <f>Table1[[#This Row],[Dry_Weight_Final]]-Table1[[#This Row],[Envelope+Staple weight]]</f>
        <v>8.2999999999999963E-2</v>
      </c>
      <c r="P146">
        <v>0.68100000000000005</v>
      </c>
      <c r="Q146">
        <f>Table1[[#This Row],[Lipid Free Weight with envelope]]-Table1[[#This Row],[Envelope+Staple weight]]</f>
        <v>2.7000000000000024E-2</v>
      </c>
      <c r="R146">
        <f>Table1[[#This Row],[Insect_Weight]]-Table1[[#This Row],[Lipid_Free_Weight]]</f>
        <v>9.4999999999999973E-2</v>
      </c>
    </row>
    <row r="147" spans="1:19" x14ac:dyDescent="0.25">
      <c r="A147" t="s">
        <v>120</v>
      </c>
      <c r="B147" s="37">
        <v>45894</v>
      </c>
      <c r="C147" t="s">
        <v>96</v>
      </c>
      <c r="D147" t="s">
        <v>101</v>
      </c>
      <c r="E147" t="str">
        <f>Table1[[#This Row],[Family]]&amp;Table1[[#This Row],[Size]]</f>
        <v>Noctuidae&gt;1</v>
      </c>
      <c r="F147" t="s">
        <v>107</v>
      </c>
      <c r="G147">
        <v>10</v>
      </c>
      <c r="H147">
        <v>0.66800000000000004</v>
      </c>
      <c r="I147">
        <v>1.889</v>
      </c>
      <c r="J147" s="8">
        <f>Table1[[#This Row],[Bugs+Envelope Weight]]-Table1[[#This Row],[Envelope+Staple weight]]</f>
        <v>1.2210000000000001</v>
      </c>
      <c r="K147" s="28">
        <f>Table1[[#This Row],[Insect_Weight]]/Table1[[#This Row],[Quantity]]</f>
        <v>0.12210000000000001</v>
      </c>
      <c r="L147">
        <v>1.1259999999999999</v>
      </c>
      <c r="M147" t="b">
        <f t="shared" si="4"/>
        <v>1</v>
      </c>
      <c r="N147">
        <v>1.125</v>
      </c>
      <c r="O147">
        <f>Table1[[#This Row],[Dry_Weight_Final]]-Table1[[#This Row],[Envelope+Staple weight]]</f>
        <v>0.45699999999999996</v>
      </c>
      <c r="P147">
        <v>1.0229999999999999</v>
      </c>
      <c r="Q147">
        <f>Table1[[#This Row],[Lipid Free Weight with envelope]]-Table1[[#This Row],[Envelope+Staple weight]]</f>
        <v>0.35499999999999987</v>
      </c>
      <c r="R147">
        <f>Table1[[#This Row],[Insect_Weight]]-Table1[[#This Row],[Lipid_Free_Weight]]</f>
        <v>0.86600000000000021</v>
      </c>
    </row>
    <row r="148" spans="1:19" x14ac:dyDescent="0.25">
      <c r="A148" t="s">
        <v>80</v>
      </c>
      <c r="B148" s="37">
        <v>45907</v>
      </c>
      <c r="C148" t="s">
        <v>96</v>
      </c>
      <c r="D148" t="s">
        <v>101</v>
      </c>
      <c r="E148" t="str">
        <f>Table1[[#This Row],[Family]]&amp;Table1[[#This Row],[Size]]</f>
        <v>Noctuidae&gt;1</v>
      </c>
      <c r="F148" t="s">
        <v>107</v>
      </c>
      <c r="G148">
        <v>4</v>
      </c>
      <c r="H148">
        <v>0.67600000000000005</v>
      </c>
      <c r="I148">
        <v>1.1970000000000001</v>
      </c>
      <c r="J148">
        <f>Table1[[#This Row],[Bugs+Envelope Weight]]-Table1[[#This Row],[Envelope+Staple weight]]</f>
        <v>0.52100000000000002</v>
      </c>
      <c r="K148" s="27">
        <f>Table1[[#This Row],[Insect_Weight]]/Table1[[#This Row],[Quantity]]</f>
        <v>0.13025</v>
      </c>
      <c r="L148">
        <v>0.88400000000000001</v>
      </c>
      <c r="M148" t="b">
        <f t="shared" si="4"/>
        <v>1</v>
      </c>
      <c r="N148">
        <v>0.88400000000000001</v>
      </c>
      <c r="O148">
        <f>Table1[[#This Row],[Dry_Weight_Final]]-Table1[[#This Row],[Envelope+Staple weight]]</f>
        <v>0.20799999999999996</v>
      </c>
      <c r="P148">
        <v>0.84199999999999997</v>
      </c>
      <c r="Q148">
        <f>Table1[[#This Row],[Lipid Free Weight with envelope]]-Table1[[#This Row],[Envelope+Staple weight]]</f>
        <v>0.16599999999999993</v>
      </c>
      <c r="R148">
        <f>Table1[[#This Row],[Insect_Weight]]-Table1[[#This Row],[Lipid_Free_Weight]]</f>
        <v>0.35500000000000009</v>
      </c>
    </row>
    <row r="149" spans="1:19" x14ac:dyDescent="0.25">
      <c r="A149" t="s">
        <v>80</v>
      </c>
      <c r="B149" s="37" t="s">
        <v>102</v>
      </c>
      <c r="C149" t="s">
        <v>108</v>
      </c>
      <c r="D149" t="s">
        <v>119</v>
      </c>
      <c r="E149" t="str">
        <f>Table1[[#This Row],[Family]]&amp;Table1[[#This Row],[Size]]</f>
        <v xml:space="preserve">Limnephilidae </v>
      </c>
      <c r="G149">
        <v>12</v>
      </c>
      <c r="H149">
        <v>0.66600000000000004</v>
      </c>
      <c r="I149">
        <v>0.84599999999999997</v>
      </c>
      <c r="J149">
        <f>Table1[[#This Row],[Bugs+Envelope Weight]]-Table1[[#This Row],[Envelope+Staple weight]]</f>
        <v>0.17999999999999994</v>
      </c>
      <c r="K149" s="27">
        <f>Table1[[#This Row],[Insect_Weight]]/Table1[[#This Row],[Quantity]]</f>
        <v>1.4999999999999994E-2</v>
      </c>
      <c r="L149">
        <v>0.74299999999999999</v>
      </c>
      <c r="M149" t="b">
        <f t="shared" si="4"/>
        <v>1</v>
      </c>
      <c r="N149">
        <v>0.74099999999999999</v>
      </c>
      <c r="O149">
        <f>Table1[[#This Row],[Dry_Weight_Final]]-Table1[[#This Row],[Envelope+Staple weight]]</f>
        <v>7.4999999999999956E-2</v>
      </c>
      <c r="P149">
        <v>0.72399999999999998</v>
      </c>
      <c r="Q149">
        <f>Table1[[#This Row],[Lipid Free Weight with envelope]]-Table1[[#This Row],[Envelope+Staple weight]]</f>
        <v>5.799999999999994E-2</v>
      </c>
      <c r="R149">
        <f>Table1[[#This Row],[Insect_Weight]]-Table1[[#This Row],[Lipid_Free_Weight]]</f>
        <v>0.122</v>
      </c>
    </row>
    <row r="150" spans="1:19" x14ac:dyDescent="0.25">
      <c r="A150" t="s">
        <v>80</v>
      </c>
      <c r="B150" s="37">
        <v>45917</v>
      </c>
      <c r="C150" t="s">
        <v>96</v>
      </c>
      <c r="D150" t="s">
        <v>101</v>
      </c>
      <c r="E150" t="str">
        <f>Table1[[#This Row],[Family]]&amp;Table1[[#This Row],[Size]]</f>
        <v>Noctuidae&gt;1</v>
      </c>
      <c r="F150" t="s">
        <v>107</v>
      </c>
      <c r="G150">
        <v>12</v>
      </c>
      <c r="H150">
        <v>0.65100000000000002</v>
      </c>
      <c r="I150">
        <v>1.7529999999999999</v>
      </c>
      <c r="J150">
        <f>Table1[[#This Row],[Bugs+Envelope Weight]]-Table1[[#This Row],[Envelope+Staple weight]]</f>
        <v>1.1019999999999999</v>
      </c>
      <c r="K150" s="27">
        <f>Table1[[#This Row],[Insect_Weight]]/Table1[[#This Row],[Quantity]]</f>
        <v>9.1833333333333322E-2</v>
      </c>
      <c r="L150">
        <v>1.177</v>
      </c>
      <c r="M150" t="b">
        <f t="shared" si="4"/>
        <v>1</v>
      </c>
      <c r="N150">
        <v>1.177</v>
      </c>
      <c r="O150">
        <f>Table1[[#This Row],[Dry_Weight_Final]]-Table1[[#This Row],[Envelope+Staple weight]]</f>
        <v>0.52600000000000002</v>
      </c>
      <c r="P150">
        <v>1.0629999999999999</v>
      </c>
      <c r="Q150">
        <f>Table1[[#This Row],[Lipid Free Weight with envelope]]-Table1[[#This Row],[Envelope+Staple weight]]</f>
        <v>0.41199999999999992</v>
      </c>
      <c r="R150">
        <f>Table1[[#This Row],[Insect_Weight]]-Table1[[#This Row],[Lipid_Free_Weight]]</f>
        <v>0.69</v>
      </c>
    </row>
    <row r="151" spans="1:19" x14ac:dyDescent="0.25">
      <c r="A151" t="s">
        <v>80</v>
      </c>
      <c r="B151" s="37" t="s">
        <v>102</v>
      </c>
      <c r="C151" t="s">
        <v>96</v>
      </c>
      <c r="D151" t="s">
        <v>117</v>
      </c>
      <c r="E151" t="str">
        <f>Table1[[#This Row],[Family]]&amp;Table1[[#This Row],[Size]]</f>
        <v>Tortricidae</v>
      </c>
      <c r="G151">
        <f>3+1+10+11+1+11</f>
        <v>37</v>
      </c>
      <c r="H151">
        <v>0.66300000000000003</v>
      </c>
      <c r="I151">
        <v>0.80700000000000005</v>
      </c>
      <c r="J151">
        <f>Table1[[#This Row],[Bugs+Envelope Weight]]-Table1[[#This Row],[Envelope+Staple weight]]</f>
        <v>0.14400000000000002</v>
      </c>
      <c r="K151" s="27">
        <f>Table1[[#This Row],[Insect_Weight]]/Table1[[#This Row],[Quantity]]</f>
        <v>3.8918918918918926E-3</v>
      </c>
      <c r="L151">
        <v>0.74</v>
      </c>
      <c r="M151" t="b">
        <f t="shared" si="4"/>
        <v>1</v>
      </c>
      <c r="N151">
        <v>0.74</v>
      </c>
      <c r="O151">
        <f>Table1[[#This Row],[Dry_Weight_Final]]-Table1[[#This Row],[Envelope+Staple weight]]</f>
        <v>7.6999999999999957E-2</v>
      </c>
      <c r="P151">
        <v>0.72399999999999998</v>
      </c>
      <c r="Q151">
        <f>Table1[[#This Row],[Lipid Free Weight with envelope]]-Table1[[#This Row],[Envelope+Staple weight]]</f>
        <v>6.0999999999999943E-2</v>
      </c>
      <c r="R151">
        <f>Table1[[#This Row],[Insect_Weight]]-Table1[[#This Row],[Lipid_Free_Weight]]</f>
        <v>8.3000000000000074E-2</v>
      </c>
    </row>
    <row r="152" spans="1:19" x14ac:dyDescent="0.25">
      <c r="A152" t="s">
        <v>80</v>
      </c>
      <c r="B152" s="37">
        <v>45917</v>
      </c>
      <c r="C152" t="s">
        <v>96</v>
      </c>
      <c r="D152" t="s">
        <v>109</v>
      </c>
      <c r="E152" t="str">
        <f>Table1[[#This Row],[Family]]&amp;Table1[[#This Row],[Size]]</f>
        <v>Erebidae</v>
      </c>
      <c r="G152">
        <v>3</v>
      </c>
      <c r="H152">
        <v>0.66400000000000003</v>
      </c>
      <c r="I152">
        <v>1.446</v>
      </c>
      <c r="J152">
        <f>Table1[[#This Row],[Bugs+Envelope Weight]]-Table1[[#This Row],[Envelope+Staple weight]]</f>
        <v>0.78199999999999992</v>
      </c>
      <c r="K152" s="27">
        <f>Table1[[#This Row],[Insect_Weight]]/Table1[[#This Row],[Quantity]]</f>
        <v>0.26066666666666666</v>
      </c>
      <c r="L152">
        <v>0.99099999999999999</v>
      </c>
      <c r="M152" t="b">
        <f t="shared" si="4"/>
        <v>1</v>
      </c>
      <c r="N152">
        <v>0.99</v>
      </c>
      <c r="O152">
        <f>Table1[[#This Row],[Dry_Weight_Final]]-Table1[[#This Row],[Envelope+Staple weight]]</f>
        <v>0.32599999999999996</v>
      </c>
      <c r="P152">
        <v>0.96799999999999997</v>
      </c>
      <c r="Q152">
        <f>Table1[[#This Row],[Lipid Free Weight with envelope]]-Table1[[#This Row],[Envelope+Staple weight]]</f>
        <v>0.30399999999999994</v>
      </c>
      <c r="R152">
        <f>Table1[[#This Row],[Insect_Weight]]-Table1[[#This Row],[Lipid_Free_Weight]]</f>
        <v>0.47799999999999998</v>
      </c>
    </row>
    <row r="153" spans="1:19" x14ac:dyDescent="0.25">
      <c r="A153" t="s">
        <v>46</v>
      </c>
      <c r="B153" s="29">
        <v>45840</v>
      </c>
      <c r="C153" s="30" t="s">
        <v>105</v>
      </c>
      <c r="D153" s="30" t="s">
        <v>106</v>
      </c>
      <c r="E153" s="30" t="str">
        <f>Table1[[#This Row],[Family]]&amp;Table1[[#This Row],[Size]]</f>
        <v>Carabidae&lt;1</v>
      </c>
      <c r="F153" s="30" t="s">
        <v>98</v>
      </c>
      <c r="G153" s="30">
        <f>10+27+30+68+1+25</f>
        <v>161</v>
      </c>
      <c r="H153" s="30">
        <v>0.66300000000000003</v>
      </c>
      <c r="I153" s="30">
        <v>1.6559999999999999</v>
      </c>
      <c r="J153" s="30">
        <f>Table1[[#This Row],[Bugs+Envelope Weight]]-Table1[[#This Row],[Envelope+Staple weight]]</f>
        <v>0.99299999999999988</v>
      </c>
      <c r="K153" s="27">
        <f>Table1[[#This Row],[Insect_Weight]]/Table1[[#This Row],[Quantity]]</f>
        <v>6.167701863354037E-3</v>
      </c>
      <c r="L153">
        <v>1.1499999999999999</v>
      </c>
      <c r="M153" t="b">
        <f t="shared" si="4"/>
        <v>1</v>
      </c>
      <c r="N153">
        <v>1.149</v>
      </c>
      <c r="O153">
        <f>Table1[[#This Row],[Dry_Weight_Final]]-Table1[[#This Row],[Envelope+Staple weight]]</f>
        <v>0.48599999999999999</v>
      </c>
      <c r="P153">
        <v>1</v>
      </c>
      <c r="Q153">
        <f>Table1[[#This Row],[Lipid Free Weight with envelope]]-Table1[[#This Row],[Envelope+Staple weight]]</f>
        <v>0.33699999999999997</v>
      </c>
      <c r="R153">
        <f>Table1[[#This Row],[Insect_Weight]]-Table1[[#This Row],[Lipid_Free_Weight]]</f>
        <v>0.65599999999999992</v>
      </c>
      <c r="S153" t="s">
        <v>125</v>
      </c>
    </row>
    <row r="154" spans="1:19" x14ac:dyDescent="0.25">
      <c r="A154" t="s">
        <v>120</v>
      </c>
      <c r="B154" s="29">
        <v>45873</v>
      </c>
      <c r="C154" s="30" t="s">
        <v>96</v>
      </c>
      <c r="D154" s="30" t="s">
        <v>109</v>
      </c>
      <c r="E154" s="30" t="str">
        <f>Table1[[#This Row],[Family]]&amp;Table1[[#This Row],[Size]]</f>
        <v>Erebidae&lt;1</v>
      </c>
      <c r="F154" s="30" t="s">
        <v>98</v>
      </c>
      <c r="G154" s="30">
        <f>17+1+1</f>
        <v>19</v>
      </c>
      <c r="H154" s="30">
        <v>0.68799999999999994</v>
      </c>
      <c r="I154" s="30">
        <v>0.89900000000000002</v>
      </c>
      <c r="J154" s="30">
        <f>Table1[[#This Row],[Bugs+Envelope Weight]]-Table1[[#This Row],[Envelope+Staple weight]]</f>
        <v>0.21100000000000008</v>
      </c>
      <c r="K154" s="27">
        <f>Table1[[#This Row],[Insect_Weight]]/Table1[[#This Row],[Quantity]]</f>
        <v>1.1105263157894741E-2</v>
      </c>
      <c r="L154">
        <v>0.74199999999999999</v>
      </c>
      <c r="M154" t="b">
        <f t="shared" si="4"/>
        <v>1</v>
      </c>
      <c r="N154">
        <v>0.74099999999999999</v>
      </c>
      <c r="O154">
        <f>Table1[[#This Row],[Dry_Weight_Final]]-Table1[[#This Row],[Envelope+Staple weight]]</f>
        <v>5.3000000000000047E-2</v>
      </c>
      <c r="P154">
        <v>0.72299999999999998</v>
      </c>
      <c r="Q154">
        <f>Table1[[#This Row],[Lipid Free Weight with envelope]]-Table1[[#This Row],[Envelope+Staple weight]]</f>
        <v>3.5000000000000031E-2</v>
      </c>
      <c r="R154">
        <f>Table1[[#This Row],[Insect_Weight]]-Table1[[#This Row],[Lipid_Free_Weight]]</f>
        <v>0.17600000000000005</v>
      </c>
    </row>
  </sheetData>
  <phoneticPr fontId="4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Nutrition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Alexandria Cosby</dc:creator>
  <cp:keywords/>
  <dc:description/>
  <cp:lastModifiedBy>Alexandria Cosby</cp:lastModifiedBy>
  <cp:revision/>
  <dcterms:created xsi:type="dcterms:W3CDTF">2025-10-24T20:25:35Z</dcterms:created>
  <dcterms:modified xsi:type="dcterms:W3CDTF">2026-02-05T22:08:23Z</dcterms:modified>
  <cp:category/>
  <cp:contentStatus/>
</cp:coreProperties>
</file>